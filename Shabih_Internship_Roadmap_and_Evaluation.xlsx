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8c9ef9a92649d0b/Desktop/"/>
    </mc:Choice>
  </mc:AlternateContent>
  <xr:revisionPtr revIDLastSave="0" documentId="8_{B415D7F1-8389-4D5B-BF3C-DD08FF6543E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sk Checklist" sheetId="8" r:id="rId1"/>
    <sheet name="Evaluation Rubri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2" l="1"/>
  <c r="B14" i="2"/>
  <c r="B10" i="2"/>
  <c r="D9" i="2"/>
  <c r="D8" i="2"/>
  <c r="D7" i="2"/>
  <c r="D6" i="2"/>
  <c r="D5" i="2"/>
  <c r="D4" i="2"/>
  <c r="D3" i="2"/>
  <c r="D2" i="2"/>
  <c r="D10" i="2" l="1"/>
  <c r="B13" i="2" s="1"/>
</calcChain>
</file>

<file path=xl/sharedStrings.xml><?xml version="1.0" encoding="utf-8"?>
<sst xmlns="http://schemas.openxmlformats.org/spreadsheetml/2006/main" count="741" uniqueCount="359">
  <si>
    <t>Recommendation</t>
  </si>
  <si>
    <t>Architecture</t>
  </si>
  <si>
    <t>Testing</t>
  </si>
  <si>
    <t>Deployment</t>
  </si>
  <si>
    <t>Task ID</t>
  </si>
  <si>
    <t>Task</t>
  </si>
  <si>
    <t>Mentor Score (1-5)</t>
  </si>
  <si>
    <t>1.1</t>
  </si>
  <si>
    <t>Development Environment Setup</t>
  </si>
  <si>
    <t>1.2</t>
  </si>
  <si>
    <t>Git Workflow</t>
  </si>
  <si>
    <t>2.1</t>
  </si>
  <si>
    <t>TypeScript Fundamentals</t>
  </si>
  <si>
    <t>3.1</t>
  </si>
  <si>
    <t>REST API</t>
  </si>
  <si>
    <t>4.1</t>
  </si>
  <si>
    <t>Database Design</t>
  </si>
  <si>
    <t>5.1</t>
  </si>
  <si>
    <t>Authentication</t>
  </si>
  <si>
    <t>6.1</t>
  </si>
  <si>
    <t>Service Architecture</t>
  </si>
  <si>
    <t>7.1</t>
  </si>
  <si>
    <t>AI Chatbot</t>
  </si>
  <si>
    <t>7.2</t>
  </si>
  <si>
    <t>Prompt Engineering</t>
  </si>
  <si>
    <t>7.3</t>
  </si>
  <si>
    <t>Conversation Memory</t>
  </si>
  <si>
    <t>7.4</t>
  </si>
  <si>
    <t>Document Chat (RAG)</t>
  </si>
  <si>
    <t>7.5</t>
  </si>
  <si>
    <t>Voice Assistant</t>
  </si>
  <si>
    <t>8.1</t>
  </si>
  <si>
    <t>Socket.IO</t>
  </si>
  <si>
    <t>9.1</t>
  </si>
  <si>
    <t>Optimization</t>
  </si>
  <si>
    <t>10.1</t>
  </si>
  <si>
    <t>11.1</t>
  </si>
  <si>
    <t>12.1</t>
  </si>
  <si>
    <t>Requirements Engineering</t>
  </si>
  <si>
    <t>12.2</t>
  </si>
  <si>
    <t>API Design</t>
  </si>
  <si>
    <t>12.3</t>
  </si>
  <si>
    <t>Code Review</t>
  </si>
  <si>
    <t>12.4</t>
  </si>
  <si>
    <t>Debugging</t>
  </si>
  <si>
    <t>12.5</t>
  </si>
  <si>
    <t>Documentation</t>
  </si>
  <si>
    <t>12.6</t>
  </si>
  <si>
    <t>Presentation</t>
  </si>
  <si>
    <t>12.7</t>
  </si>
  <si>
    <t>AI Research</t>
  </si>
  <si>
    <t>13.1</t>
  </si>
  <si>
    <t>Item #</t>
  </si>
  <si>
    <t>Requirement (what to do)</t>
  </si>
  <si>
    <t>How to Verify (what done looks like)</t>
  </si>
  <si>
    <t>Done</t>
  </si>
  <si>
    <t>Date Completed</t>
  </si>
  <si>
    <t>Evidence / Link</t>
  </si>
  <si>
    <t>Install Node.js LTS</t>
  </si>
  <si>
    <t>`node -v` prints v20 or higher</t>
  </si>
  <si>
    <t>No</t>
  </si>
  <si>
    <t>Confirm npm works</t>
  </si>
  <si>
    <t>`npm -v` prints a version number</t>
  </si>
  <si>
    <t>Install TypeScript + create tsconfig.json</t>
  </si>
  <si>
    <t>`npx tsc --noEmit` runs without config errors</t>
  </si>
  <si>
    <t>Configure Git (name + email)</t>
  </si>
  <si>
    <t>`git config user.name` returns your name</t>
  </si>
  <si>
    <t>Create GitHub repository</t>
  </si>
  <si>
    <t>Repo URL opens in a browser</t>
  </si>
  <si>
    <t>Write README with project description</t>
  </si>
  <si>
    <t>README renders on the repo homepage</t>
  </si>
  <si>
    <t>Configure ESLint</t>
  </si>
  <si>
    <t>`npx eslint .` runs without config errors</t>
  </si>
  <si>
    <t>Configure Prettier + format-on-save</t>
  </si>
  <si>
    <t>Saving a messy file auto-formats it</t>
  </si>
  <si>
    <t>Install Postman + create first collection</t>
  </si>
  <si>
    <t>Collection with at least 1 saved request</t>
  </si>
  <si>
    <t>Install VS Code extensions (ESLint, Prettier, GitLens)</t>
  </si>
  <si>
    <t>All three show as enabled</t>
  </si>
  <si>
    <t>Clone the repository locally</t>
  </si>
  <si>
    <t>`git status` works inside the folder</t>
  </si>
  <si>
    <t>Create a feature branch</t>
  </si>
  <si>
    <t>`git branch` shows feature/&lt;name&gt;</t>
  </si>
  <si>
    <t>Make 5+ atomic commits with clear messages</t>
  </si>
  <si>
    <t>`git log --oneline` reads like a changelog</t>
  </si>
  <si>
    <t>Push branch to remote</t>
  </si>
  <si>
    <t>Branch is visible on GitHub</t>
  </si>
  <si>
    <t>Open a PR with a written description</t>
  </si>
  <si>
    <t>PR page shows summary of the change</t>
  </si>
  <si>
    <t>Merge the PR after self-review</t>
  </si>
  <si>
    <t>main branch contains your commits</t>
  </si>
  <si>
    <t>Create and resolve a merge conflict</t>
  </si>
  <si>
    <t>Conflict resolved with no code lost</t>
  </si>
  <si>
    <t>Create Student class with constructor</t>
  </si>
  <si>
    <t>`new Student(...)` creates valid instances</t>
  </si>
  <si>
    <t>Define interfaces for all data models</t>
  </si>
  <si>
    <t>No `any` types in model code</t>
  </si>
  <si>
    <t>Use enums or union types for fixed values</t>
  </si>
  <si>
    <t>Status/type fields reject invalid values</t>
  </si>
  <si>
    <t>Use a generic (e.g. Repository&lt;T&gt;)</t>
  </si>
  <si>
    <t>Same code reused for two different types</t>
  </si>
  <si>
    <t>Implement async/await with a simulated API</t>
  </si>
  <si>
    <t>Async calls resolve and errors are caught</t>
  </si>
  <si>
    <t>Add input validation with clear error messages</t>
  </si>
  <si>
    <t>Bad input prints a helpful message, no crash</t>
  </si>
  <si>
    <t>Build CLI menu: add/list/update/delete students</t>
  </si>
  <si>
    <t>All 4 operations work from the terminal</t>
  </si>
  <si>
    <t>Compile clean in strict mode</t>
  </si>
  <si>
    <t>`tsc` with strict:true gives zero errors</t>
  </si>
  <si>
    <t>Scaffold the project (Express/Nest)</t>
  </si>
  <si>
    <t>Server starts and logs the port</t>
  </si>
  <si>
    <t>POST /students creates a student</t>
  </si>
  <si>
    <t>Returns 201 with the created body</t>
  </si>
  <si>
    <t>GET /students and GET /students/:id work</t>
  </si>
  <si>
    <t>200 with data; 404 for a missing id</t>
  </si>
  <si>
    <t>PUT/PATCH updates a student</t>
  </si>
  <si>
    <t>Returns 200 with the updated body</t>
  </si>
  <si>
    <t>DELETE removes a student</t>
  </si>
  <si>
    <t>Returns 204; following GET returns 404</t>
  </si>
  <si>
    <t>Add request validation (zod/joi/DTO)</t>
  </si>
  <si>
    <t>Invalid body returns 400 with a clear message</t>
  </si>
  <si>
    <t>Add centralized error handler</t>
  </si>
  <si>
    <t>Errors return clean JSON, never a stack trace</t>
  </si>
  <si>
    <t>Add request logging middleware</t>
  </si>
  <si>
    <t>Each request logs method, path, status</t>
  </si>
  <si>
    <t>Draw the ERD</t>
  </si>
  <si>
    <t>Diagram saved in /docs and matches requirements</t>
  </si>
  <si>
    <t>Create tables with PK/FK relationships</t>
  </si>
  <si>
    <t>Foreign keys enforce valid references</t>
  </si>
  <si>
    <t>Apply constraints (NOT NULL, UNIQUE)</t>
  </si>
  <si>
    <t>Inserting bad data fails at the DB level</t>
  </si>
  <si>
    <t>Set up migrations</t>
  </si>
  <si>
    <t>Migrate up and down both work</t>
  </si>
  <si>
    <t>Write a seed script</t>
  </si>
  <si>
    <t>One command fills the DB with sample data</t>
  </si>
  <si>
    <t>Connect API to the DB (no in-memory)</t>
  </si>
  <si>
    <t>Data survives an app restart</t>
  </si>
  <si>
    <t>Build register endpoint with validation</t>
  </si>
  <si>
    <t>Duplicate email is rejected with clear error</t>
  </si>
  <si>
    <t>Hash passwords with bcrypt</t>
  </si>
  <si>
    <t>DB shows hashes, never plain text</t>
  </si>
  <si>
    <t>Login returns a JWT</t>
  </si>
  <si>
    <t>Token decodes with the expected payload</t>
  </si>
  <si>
    <t>Protect routes with auth middleware</t>
  </si>
  <si>
    <t>Request without token returns 401</t>
  </si>
  <si>
    <t>Add role/ownership check on one route</t>
  </si>
  <si>
    <t>Wrong user gets 403</t>
  </si>
  <si>
    <t>Handle token expiry</t>
  </si>
  <si>
    <t>Expired token returns 401, not a crash</t>
  </si>
  <si>
    <t>Save auth flows in Postman</t>
  </si>
  <si>
    <t>Collection covers register/login/protected</t>
  </si>
  <si>
    <t>Controllers handle HTTP only</t>
  </si>
  <si>
    <t>No business logic inside controllers</t>
  </si>
  <si>
    <t>Move business logic into services</t>
  </si>
  <si>
    <t>Services have no req/res objects</t>
  </si>
  <si>
    <t>Repositories handle all data access</t>
  </si>
  <si>
    <t>No SQL/ORM calls outside repositories</t>
  </si>
  <si>
    <t>Define DTOs/types between layers</t>
  </si>
  <si>
    <t>Layer boundaries use typed objects</t>
  </si>
  <si>
    <t>Keep dependency flow one-directional</t>
  </si>
  <si>
    <t>No circular imports</t>
  </si>
  <si>
    <t>Document folder structure in README</t>
  </si>
  <si>
    <t>A new dev can find where code belongs</t>
  </si>
  <si>
    <t>Configure LLM API key via environment variable</t>
  </si>
  <si>
    <t>Key is not in Git history</t>
  </si>
  <si>
    <t>Build POST /chat endpoint calling the LLM</t>
  </si>
  <si>
    <t>Sending a message returns an AI reply</t>
  </si>
  <si>
    <t>Store conversations in the DB</t>
  </si>
  <si>
    <t>Messages visible in the conversations table</t>
  </si>
  <si>
    <t>Wire chat flow end to end (UI or Postman)</t>
  </si>
  <si>
    <t>Multi-turn conversation works</t>
  </si>
  <si>
    <t>Handle loading state</t>
  </si>
  <si>
    <t>User sees a pending indicator, not a freeze</t>
  </si>
  <si>
    <t>Handle AI/API failures gracefully</t>
  </si>
  <si>
    <t>Outage shows a friendly error message</t>
  </si>
  <si>
    <t>Add a basic usage guard / rate limit</t>
  </si>
  <si>
    <t>Spam requests get blocked politely</t>
  </si>
  <si>
    <t>Write a system prompt for the study assistant</t>
  </si>
  <si>
    <t>Bot stays in its study-helper role</t>
  </si>
  <si>
    <t>Document constraints (scope, tone, refusals)</t>
  </si>
  <si>
    <t>Off-topic requests are politely refused</t>
  </si>
  <si>
    <t>Log 3+ prompt iterations with results</t>
  </si>
  <si>
    <t>Doc shows measurable answer improvement</t>
  </si>
  <si>
    <t>Test few-shot examples</t>
  </si>
  <si>
    <t>Adding examples visibly improves format</t>
  </si>
  <si>
    <t>Store final prompt in config, not scattered strings</t>
  </si>
  <si>
    <t>One place to edit the prompt</t>
  </si>
  <si>
    <t>Persist messages per conversation</t>
  </si>
  <si>
    <t>Reload shows full history</t>
  </si>
  <si>
    <t>Inject history window into the prompt</t>
  </si>
  <si>
    <t>Bot answers follow-up questions correctly</t>
  </si>
  <si>
    <t>Truncate/summarize old messages</t>
  </si>
  <si>
    <t>Long chats stay under the token limit</t>
  </si>
  <si>
    <t>Store and use user preferences</t>
  </si>
  <si>
    <t>Bot remembers e.g. preferred language</t>
  </si>
  <si>
    <t>Survive an app restart</t>
  </si>
  <si>
    <t>Restart, ask a follow-up — context still works</t>
  </si>
  <si>
    <t>Build file upload endpoint (PDF)</t>
  </si>
  <si>
    <t>Upload succeeds and file is stored</t>
  </si>
  <si>
    <t>Extract text from PDFs</t>
  </si>
  <si>
    <t>Extracted text matches the document</t>
  </si>
  <si>
    <t>Implement + document a chunking strategy</t>
  </si>
  <si>
    <t>/docs explains chunk size and overlap choice</t>
  </si>
  <si>
    <t>Generate and store embeddings</t>
  </si>
  <si>
    <t>Vectors stored per chunk</t>
  </si>
  <si>
    <t>Similarity search returns relevant chunks</t>
  </si>
  <si>
    <t>Test question retrieves the right passage</t>
  </si>
  <si>
    <t>Cite sources in answers</t>
  </si>
  <si>
    <t>Answer names page/section it came from</t>
  </si>
  <si>
    <t>Handle questions with no relevant content</t>
  </si>
  <si>
    <t>Bot says it does not know, no invention</t>
  </si>
  <si>
    <t>Test with 3+ different PDFs</t>
  </si>
  <si>
    <t>All three produce grounded answers</t>
  </si>
  <si>
    <t>Accept audio recording/upload</t>
  </si>
  <si>
    <t>Audio file reaches the server</t>
  </si>
  <si>
    <t>Integrate speech-to-text</t>
  </si>
  <si>
    <t>Clear speech transcribes accurately</t>
  </si>
  <si>
    <t>Route transcript through the chatbot pipeline</t>
  </si>
  <si>
    <t>Spoken question gets an AI answer</t>
  </si>
  <si>
    <t>Return text-to-speech audio reply</t>
  </si>
  <si>
    <t>Answer plays back as audio</t>
  </si>
  <si>
    <t>Record a full voice round-trip demo</t>
  </si>
  <si>
    <t>Video/screen recording saved in /docs</t>
  </si>
  <si>
    <t>Establish socket connection from client</t>
  </si>
  <si>
    <t>Connect event logs on the server</t>
  </si>
  <si>
    <t>Implement typing indicator</t>
  </si>
  <si>
    <t>Second window shows 'typing…' live</t>
  </si>
  <si>
    <t>Implement online presence list</t>
  </si>
  <si>
    <t>List updates on connect/disconnect</t>
  </si>
  <si>
    <t>Push a realtime notification on an event</t>
  </si>
  <si>
    <t>Notification appears without refresh</t>
  </si>
  <si>
    <t>Handle reconnection</t>
  </si>
  <si>
    <t>Kill server, restart — client reconnects</t>
  </si>
  <si>
    <t>Connect Redis</t>
  </si>
  <si>
    <t>Redis ping succeeds from the app</t>
  </si>
  <si>
    <t>Cache at least one hot endpoint</t>
  </si>
  <si>
    <t>Second call visibly faster (log timings)</t>
  </si>
  <si>
    <t>Invalidate cache on data change</t>
  </si>
  <si>
    <t>Update shows fresh data, not stale cache</t>
  </si>
  <si>
    <t>Add pagination to list endpoints</t>
  </si>
  <si>
    <t>page/limit params return correct slices</t>
  </si>
  <si>
    <t>Identify and optimize one slow query</t>
  </si>
  <si>
    <t>Before/after timings recorded in /docs</t>
  </si>
  <si>
    <t>Set up test framework (Jest/Vitest)</t>
  </si>
  <si>
    <t>`npm test` runs</t>
  </si>
  <si>
    <t>Write 5+ unit tests for services</t>
  </si>
  <si>
    <t>All pass, cover core logic</t>
  </si>
  <si>
    <t>Write integration tests with a test DB</t>
  </si>
  <si>
    <t>Tests use isolated test database</t>
  </si>
  <si>
    <t>Write API tests for main endpoints</t>
  </si>
  <si>
    <t>CRUD + auth paths covered</t>
  </si>
  <si>
    <t>Test edge and error cases</t>
  </si>
  <si>
    <t>Invalid input paths are asserted</t>
  </si>
  <si>
    <t>Generate a coverage report</t>
  </si>
  <si>
    <t>60%+ coverage on services</t>
  </si>
  <si>
    <t>Write a Dockerfile</t>
  </si>
  <si>
    <t>`docker build` succeeds</t>
  </si>
  <si>
    <t>Create docker-compose for app + DB</t>
  </si>
  <si>
    <t>`docker compose up` starts everything</t>
  </si>
  <si>
    <t>Manage env vars properly</t>
  </si>
  <si>
    <t>.env gitignored; .env.example committed</t>
  </si>
  <si>
    <t>Add a health endpoint</t>
  </si>
  <si>
    <t>/health returns status + uptime</t>
  </si>
  <si>
    <t>Deploy (or run from a clean clone)</t>
  </si>
  <si>
    <t>Fresh machine needs max 3 commands</t>
  </si>
  <si>
    <t>Document deployment steps</t>
  </si>
  <si>
    <t>/docs/deploy.md is complete</t>
  </si>
  <si>
    <t>Write 8+ user stories</t>
  </si>
  <si>
    <t>As a… I want… so that…' format</t>
  </si>
  <si>
    <t>Define acceptance criteria per story</t>
  </si>
  <si>
    <t>Each story is testable</t>
  </si>
  <si>
    <t>Document assumptions and out-of-scope</t>
  </si>
  <si>
    <t>Scope boundaries are explicit</t>
  </si>
  <si>
    <t>Map stories to tasks/weeks</t>
  </si>
  <si>
    <t>Each story points at a roadmap task</t>
  </si>
  <si>
    <t>Design all endpoints before coding</t>
  </si>
  <si>
    <t>Endpoint list reviewed against stories</t>
  </si>
  <si>
    <t>Define status codes per endpoint</t>
  </si>
  <si>
    <t>Success + error codes specified</t>
  </si>
  <si>
    <t>Specify the error response format</t>
  </si>
  <si>
    <t>One consistent JSON error shape</t>
  </si>
  <si>
    <t>Write the OpenAPI/Swagger spec</t>
  </si>
  <si>
    <t>Spec validates without errors</t>
  </si>
  <si>
    <t>Serve Swagger UI from the app</t>
  </si>
  <si>
    <t>/docs endpoint shows try-it-out UI</t>
  </si>
  <si>
    <t>Review an assigned/peer pull request</t>
  </si>
  <si>
    <t>Comments posted on specific lines</t>
  </si>
  <si>
    <t>Comment on naming and readability</t>
  </si>
  <si>
    <t>At least 3 concrete suggestions</t>
  </si>
  <si>
    <t>Find one security and one performance issue</t>
  </si>
  <si>
    <t>Both documented with fixes</t>
  </si>
  <si>
    <t>Submit a written review report</t>
  </si>
  <si>
    <t>Report saved in /docs/reviews</t>
  </si>
  <si>
    <t>Reproduce the bug with written steps</t>
  </si>
  <si>
    <t>Steps reliably trigger the bug</t>
  </si>
  <si>
    <t>Identify the root cause</t>
  </si>
  <si>
    <t>Explanation covers cause, not symptom</t>
  </si>
  <si>
    <t>Implement the fix</t>
  </si>
  <si>
    <t>Bug no longer reproduces</t>
  </si>
  <si>
    <t>Add a regression test</t>
  </si>
  <si>
    <t>Test fails on old code, passes on new</t>
  </si>
  <si>
    <t>Complete the README (setup/run/test)</t>
  </si>
  <si>
    <t>A stranger can run the app from it</t>
  </si>
  <si>
    <t>Write an architecture doc with diagram</t>
  </si>
  <si>
    <t>Layers and data flow are drawn</t>
  </si>
  <si>
    <t>Publish API documentation</t>
  </si>
  <si>
    <t>Matches the live endpoints</t>
  </si>
  <si>
    <t>Document AI prompts and design decisions</t>
  </si>
  <si>
    <t>/docs explains the why, not just what</t>
  </si>
  <si>
    <t>Prepare a demo script</t>
  </si>
  <si>
    <t>Dry run fits in 15 minutes</t>
  </si>
  <si>
    <t>Deliver the 15-minute demo</t>
  </si>
  <si>
    <t>Live demo, no slides-only</t>
  </si>
  <si>
    <t>Answer questions without AI assistance</t>
  </si>
  <si>
    <t>Explains own code confidently</t>
  </si>
  <si>
    <t>Write a reflection</t>
  </si>
  <si>
    <t>1 page: what I'd do differently</t>
  </si>
  <si>
    <t>Select the weekly topic from Weekly Plan</t>
  </si>
  <si>
    <t>Topic matches the assigned week</t>
  </si>
  <si>
    <t>Write a 1-page summary in your own words</t>
  </si>
  <si>
    <t>No copy-paste; sources listed</t>
  </si>
  <si>
    <t>Present 10 minutes to the team</t>
  </si>
  <si>
    <t>Peers can ask questions</t>
  </si>
  <si>
    <t>Store summaries in /docs/research</t>
  </si>
  <si>
    <t>One file per week, named by topic</t>
  </si>
  <si>
    <t>AI Campus Assistant (Capstone)</t>
  </si>
  <si>
    <t>Write capstone requirements &amp; scope doc</t>
  </si>
  <si>
    <t>Approved at Week 15 checkpoint</t>
  </si>
  <si>
    <t>Complete auth module</t>
  </si>
  <si>
    <t>Register/login/protected routes work</t>
  </si>
  <si>
    <t>Complete student data CRUD</t>
  </si>
  <si>
    <t>All operations persist to DB</t>
  </si>
  <si>
    <t>Integrate the AI chatbot</t>
  </si>
  <si>
    <t>Multi-turn chat with memory works</t>
  </si>
  <si>
    <t>Integrate RAG document chat</t>
  </si>
  <si>
    <t>PDF Q&amp;A with citations works</t>
  </si>
  <si>
    <t>Integrate the voice assistant</t>
  </si>
  <si>
    <t>Voice round-trip works</t>
  </si>
  <si>
    <t>Integrate realtime notifications</t>
  </si>
  <si>
    <t>Live updates without refresh</t>
  </si>
  <si>
    <t>Get the full test suite passing</t>
  </si>
  <si>
    <t>`npm test` green, coverage reported</t>
  </si>
  <si>
    <t>Dockerize and deploy</t>
  </si>
  <si>
    <t>`docker compose up` runs the full app</t>
  </si>
  <si>
    <t>Deliver final presentation + handover docs</t>
  </si>
  <si>
    <t>Demo done; docs complete</t>
  </si>
  <si>
    <t>Category</t>
  </si>
  <si>
    <t>Weight (%)</t>
  </si>
  <si>
    <t>Weighted Points</t>
  </si>
  <si>
    <t>Functionality</t>
  </si>
  <si>
    <t>Code Quality</t>
  </si>
  <si>
    <t>Git Usage</t>
  </si>
  <si>
    <t>Communication &amp; Explanation</t>
  </si>
  <si>
    <t>Total</t>
  </si>
  <si>
    <t>Pass Threshold (points)</t>
  </si>
  <si>
    <t>Overall Score (out of 100)</t>
  </si>
  <si>
    <t>Avg Task Mentor Score (Roadmap)</t>
  </si>
  <si>
    <t>Yes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</si>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</sst>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82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0" fontId="0" fillId="0" borderId="0" xfId="0" quotePrefix="1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2" borderId="0" xfId="0" applyFont="1" applyFill="1"/>
    <xf numFmtId="14" fontId="0" fillId="0" borderId="0" xfId="0" applyNumberFormat="1" applyProtection="1">
      <protection locked="0"/>
    </xf>
  </cellXfs>
  <cellStyles count="1">
    <cellStyle name="Normal" xfId="0" builtinId="0"/>
  </cellStyles>
  <dxfs count="9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protection locked="0"/>
    </dxf>
    <dxf>
      <protection locked="0"/>
    </dxf>
    <dxf>
      <alignment horizontal="center" vertical="bottom" textRotation="0" wrapText="0" indent="0" justifyLastLine="0" shrinkToFit="0" readingOrder="0"/>
      <protection locked="0"/>
    </dxf>
    <dxf>
      <alignment horizontal="center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F5821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480192-4572-43FA-BD3B-7CE412E3ED07}" name="Checklist" displayName="Checklist" ref="A1:H144" totalsRowShown="0" headerRowDxfId="8">
  <autoFilter ref="A1:H144" xr:uid="{52480192-4572-43FA-BD3B-7CE412E3ED07}"/>
  <tableColumns count="8">
    <tableColumn id="1" xr3:uid="{AA13B349-0F25-4692-BD80-90933CDE9198}" name="Task ID" dataDxfId="7"/>
    <tableColumn id="2" xr3:uid="{DD86A8D4-34A2-4313-8028-8FDEEF876BFD}" name="Task"/>
    <tableColumn id="3" xr3:uid="{94532A1F-3DEE-4C70-BEFD-6696491F113F}" name="Item #" dataDxfId="6"/>
    <tableColumn id="4" xr3:uid="{9AD24F55-F6F7-4CCE-85D3-8D18AF6ED664}" name="Requirement (what to do)"/>
    <tableColumn id="5" xr3:uid="{2CB552D0-7534-4FA7-9E1F-0C952B978D9B}" name="How to Verify (what done looks like)"/>
    <tableColumn id="6" xr3:uid="{84EB0BF1-6646-4FFB-89F9-6FB6E44F7327}" name="Done" dataDxfId="5"/>
    <tableColumn id="7" xr3:uid="{1CEBED49-2012-48C8-B638-A8CBE9586DB8}" name="Date Completed" dataDxfId="4"/>
    <tableColumn id="8" xr3:uid="{04EA1699-4644-4D52-B331-DB4FBF11704C}" name="Evidence / Link" dataDxfId="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A1EE55-A8A5-40DE-8B1B-21AE9CABE7D7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d45a4eb-f8c8-4313-a436-375f61092fd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398F-C9CD-4736-9874-252AB1C9BC46}">
  <dimension ref="A1:H144"/>
  <sheetViews>
    <sheetView tabSelected="1" workbookViewId="0">
      <pane ySplit="1" topLeftCell="A2" activePane="bottomLeft" state="frozen"/>
      <selection pane="bottomLeft" activeCell="E28" sqref="E28"/>
    </sheetView>
  </sheetViews>
  <sheetFormatPr defaultRowHeight="14.4" x14ac:dyDescent="0.3"/>
  <cols>
    <col min="1" max="1" width="10.33203125" customWidth="1"/>
    <col min="2" max="2" width="30.5546875" customWidth="1"/>
    <col min="4" max="5" width="51.88671875" customWidth="1"/>
    <col min="6" max="6" width="10.33203125" customWidth="1"/>
    <col min="7" max="7" width="19.44140625" customWidth="1"/>
    <col min="8" max="8" width="33.33203125" customWidth="1"/>
  </cols>
  <sheetData>
    <row r="1" spans="1:8" x14ac:dyDescent="0.3">
      <c r="A1" s="11" t="s">
        <v>4</v>
      </c>
      <c r="B1" s="11" t="s">
        <v>5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57</v>
      </c>
    </row>
    <row r="2" spans="1:8" x14ac:dyDescent="0.3">
      <c r="A2" s="2" t="s">
        <v>7</v>
      </c>
      <c r="B2" t="s">
        <v>8</v>
      </c>
      <c r="C2" s="3">
        <v>1</v>
      </c>
      <c r="D2" t="s">
        <v>58</v>
      </c>
      <c r="E2" t="s">
        <v>59</v>
      </c>
      <c r="F2" s="9" t="s">
        <v>357</v>
      </c>
      <c r="G2" s="12">
        <v>46261</v>
      </c>
      <c r="H2" s="10"/>
    </row>
    <row r="3" spans="1:8" x14ac:dyDescent="0.3">
      <c r="A3" s="2" t="s">
        <v>7</v>
      </c>
      <c r="B3" t="s">
        <v>8</v>
      </c>
      <c r="C3" s="3">
        <v>2</v>
      </c>
      <c r="D3" t="s">
        <v>61</v>
      </c>
      <c r="E3" t="s">
        <v>62</v>
      </c>
      <c r="F3" s="9" t="s">
        <v>357</v>
      </c>
      <c r="G3" s="12">
        <v>46261</v>
      </c>
      <c r="H3" s="10"/>
    </row>
    <row r="4" spans="1:8" x14ac:dyDescent="0.3">
      <c r="A4" s="2" t="s">
        <v>7</v>
      </c>
      <c r="B4" t="s">
        <v>8</v>
      </c>
      <c r="C4" s="3">
        <v>3</v>
      </c>
      <c r="D4" t="s">
        <v>63</v>
      </c>
      <c r="E4" t="s">
        <v>64</v>
      </c>
      <c r="F4" s="9" t="s">
        <v>357</v>
      </c>
      <c r="G4" s="12">
        <v>46261</v>
      </c>
      <c r="H4" s="10"/>
    </row>
    <row r="5" spans="1:8" x14ac:dyDescent="0.3">
      <c r="A5" s="2" t="s">
        <v>7</v>
      </c>
      <c r="B5" t="s">
        <v>8</v>
      </c>
      <c r="C5" s="3">
        <v>4</v>
      </c>
      <c r="D5" t="s">
        <v>65</v>
      </c>
      <c r="E5" t="s">
        <v>66</v>
      </c>
      <c r="F5" s="9" t="s">
        <v>357</v>
      </c>
      <c r="G5" s="12">
        <v>46262</v>
      </c>
      <c r="H5" s="10"/>
    </row>
    <row r="6" spans="1:8" x14ac:dyDescent="0.3">
      <c r="A6" s="2" t="s">
        <v>7</v>
      </c>
      <c r="B6" t="s">
        <v>8</v>
      </c>
      <c r="C6" s="3">
        <v>5</v>
      </c>
      <c r="D6" t="s">
        <v>67</v>
      </c>
      <c r="E6" t="s">
        <v>68</v>
      </c>
      <c r="F6" s="9" t="s">
        <v>357</v>
      </c>
      <c r="G6" s="12">
        <v>46262</v>
      </c>
      <c r="H6" s="10"/>
    </row>
    <row r="7" spans="1:8" x14ac:dyDescent="0.3">
      <c r="A7" s="2" t="s">
        <v>7</v>
      </c>
      <c r="B7" t="s">
        <v>8</v>
      </c>
      <c r="C7" s="3">
        <v>6</v>
      </c>
      <c r="D7" t="s">
        <v>69</v>
      </c>
      <c r="E7" t="s">
        <v>70</v>
      </c>
      <c r="F7" s="9" t="s">
        <v>357</v>
      </c>
      <c r="G7" s="12">
        <v>46262</v>
      </c>
      <c r="H7" s="10"/>
    </row>
    <row r="8" spans="1:8" x14ac:dyDescent="0.3">
      <c r="A8" s="2" t="s">
        <v>7</v>
      </c>
      <c r="B8" t="s">
        <v>8</v>
      </c>
      <c r="C8" s="3">
        <v>7</v>
      </c>
      <c r="D8" t="s">
        <v>71</v>
      </c>
      <c r="E8" t="s">
        <v>72</v>
      </c>
      <c r="F8" s="9" t="s">
        <v>357</v>
      </c>
      <c r="G8" s="12">
        <v>46262</v>
      </c>
      <c r="H8" s="10"/>
    </row>
    <row r="9" spans="1:8" x14ac:dyDescent="0.3">
      <c r="A9" s="2" t="s">
        <v>7</v>
      </c>
      <c r="B9" t="s">
        <v>8</v>
      </c>
      <c r="C9" s="3">
        <v>8</v>
      </c>
      <c r="D9" t="s">
        <v>73</v>
      </c>
      <c r="E9" t="s">
        <v>74</v>
      </c>
      <c r="F9" s="9" t="s">
        <v>60</v>
      </c>
      <c r="G9" s="10"/>
      <c r="H9" s="10"/>
    </row>
    <row r="10" spans="1:8" x14ac:dyDescent="0.3">
      <c r="A10" s="2" t="s">
        <v>7</v>
      </c>
      <c r="B10" t="s">
        <v>8</v>
      </c>
      <c r="C10" s="3">
        <v>9</v>
      </c>
      <c r="D10" t="s">
        <v>75</v>
      </c>
      <c r="E10" t="s">
        <v>76</v>
      </c>
      <c r="F10" s="9" t="s">
        <v>357</v>
      </c>
      <c r="G10" s="12">
        <v>46262</v>
      </c>
      <c r="H10" s="10"/>
    </row>
    <row r="11" spans="1:8" x14ac:dyDescent="0.3">
      <c r="A11" s="2" t="s">
        <v>7</v>
      </c>
      <c r="B11" t="s">
        <v>8</v>
      </c>
      <c r="C11" s="3">
        <v>10</v>
      </c>
      <c r="D11" t="s">
        <v>77</v>
      </c>
      <c r="E11" t="s">
        <v>78</v>
      </c>
      <c r="F11" s="9" t="s">
        <v>357</v>
      </c>
      <c r="G11" s="12">
        <v>46262</v>
      </c>
      <c r="H11" s="10"/>
    </row>
    <row r="12" spans="1:8" x14ac:dyDescent="0.3">
      <c r="A12" s="2" t="s">
        <v>9</v>
      </c>
      <c r="B12" t="s">
        <v>10</v>
      </c>
      <c r="C12" s="3">
        <v>1</v>
      </c>
      <c r="D12" t="s">
        <v>79</v>
      </c>
      <c r="E12" t="s">
        <v>80</v>
      </c>
      <c r="F12" s="9" t="s">
        <v>357</v>
      </c>
      <c r="G12" s="12">
        <v>46263</v>
      </c>
      <c r="H12" s="10"/>
    </row>
    <row r="13" spans="1:8" x14ac:dyDescent="0.3">
      <c r="A13" s="2" t="s">
        <v>9</v>
      </c>
      <c r="B13" t="s">
        <v>10</v>
      </c>
      <c r="C13" s="3">
        <v>2</v>
      </c>
      <c r="D13" t="s">
        <v>81</v>
      </c>
      <c r="E13" t="s">
        <v>82</v>
      </c>
      <c r="F13" s="9" t="s">
        <v>357</v>
      </c>
      <c r="G13" s="12">
        <v>46263</v>
      </c>
      <c r="H13" s="10"/>
    </row>
    <row r="14" spans="1:8" x14ac:dyDescent="0.3">
      <c r="A14" s="2" t="s">
        <v>9</v>
      </c>
      <c r="B14" t="s">
        <v>10</v>
      </c>
      <c r="C14" s="3">
        <v>3</v>
      </c>
      <c r="D14" t="s">
        <v>83</v>
      </c>
      <c r="E14" t="s">
        <v>84</v>
      </c>
      <c r="F14" s="9" t="s">
        <v>60</v>
      </c>
      <c r="G14" s="10" t="s">
        <v>358</v>
      </c>
      <c r="H14" s="10"/>
    </row>
    <row r="15" spans="1:8" x14ac:dyDescent="0.3">
      <c r="A15" s="2" t="s">
        <v>9</v>
      </c>
      <c r="B15" t="s">
        <v>10</v>
      </c>
      <c r="C15" s="3">
        <v>4</v>
      </c>
      <c r="D15" t="s">
        <v>85</v>
      </c>
      <c r="E15" t="s">
        <v>86</v>
      </c>
      <c r="F15" s="9" t="s">
        <v>60</v>
      </c>
      <c r="G15" s="10"/>
      <c r="H15" s="10"/>
    </row>
    <row r="16" spans="1:8" x14ac:dyDescent="0.3">
      <c r="A16" s="2" t="s">
        <v>9</v>
      </c>
      <c r="B16" t="s">
        <v>10</v>
      </c>
      <c r="C16" s="3">
        <v>5</v>
      </c>
      <c r="D16" t="s">
        <v>87</v>
      </c>
      <c r="E16" t="s">
        <v>88</v>
      </c>
      <c r="F16" s="9" t="s">
        <v>60</v>
      </c>
      <c r="G16" s="10"/>
      <c r="H16" s="10"/>
    </row>
    <row r="17" spans="1:8" x14ac:dyDescent="0.3">
      <c r="A17" s="2" t="s">
        <v>9</v>
      </c>
      <c r="B17" t="s">
        <v>10</v>
      </c>
      <c r="C17" s="3">
        <v>6</v>
      </c>
      <c r="D17" t="s">
        <v>89</v>
      </c>
      <c r="E17" t="s">
        <v>90</v>
      </c>
      <c r="F17" s="9" t="s">
        <v>60</v>
      </c>
      <c r="G17" s="10"/>
      <c r="H17" s="10"/>
    </row>
    <row r="18" spans="1:8" x14ac:dyDescent="0.3">
      <c r="A18" s="2" t="s">
        <v>9</v>
      </c>
      <c r="B18" t="s">
        <v>10</v>
      </c>
      <c r="C18" s="3">
        <v>7</v>
      </c>
      <c r="D18" t="s">
        <v>91</v>
      </c>
      <c r="E18" t="s">
        <v>92</v>
      </c>
      <c r="F18" s="9" t="s">
        <v>60</v>
      </c>
      <c r="G18" s="10"/>
      <c r="H18" s="10"/>
    </row>
    <row r="19" spans="1:8" x14ac:dyDescent="0.3">
      <c r="A19" s="2" t="s">
        <v>11</v>
      </c>
      <c r="B19" t="s">
        <v>12</v>
      </c>
      <c r="C19" s="3">
        <v>1</v>
      </c>
      <c r="D19" t="s">
        <v>93</v>
      </c>
      <c r="E19" t="s">
        <v>94</v>
      </c>
      <c r="F19" s="9" t="s">
        <v>60</v>
      </c>
      <c r="G19" s="10"/>
      <c r="H19" s="10"/>
    </row>
    <row r="20" spans="1:8" x14ac:dyDescent="0.3">
      <c r="A20" s="2" t="s">
        <v>11</v>
      </c>
      <c r="B20" t="s">
        <v>12</v>
      </c>
      <c r="C20" s="3">
        <v>2</v>
      </c>
      <c r="D20" t="s">
        <v>95</v>
      </c>
      <c r="E20" t="s">
        <v>96</v>
      </c>
      <c r="F20" s="9" t="s">
        <v>60</v>
      </c>
      <c r="G20" s="10"/>
      <c r="H20" s="10"/>
    </row>
    <row r="21" spans="1:8" x14ac:dyDescent="0.3">
      <c r="A21" s="2" t="s">
        <v>11</v>
      </c>
      <c r="B21" t="s">
        <v>12</v>
      </c>
      <c r="C21" s="3">
        <v>3</v>
      </c>
      <c r="D21" t="s">
        <v>97</v>
      </c>
      <c r="E21" t="s">
        <v>98</v>
      </c>
      <c r="F21" s="9" t="s">
        <v>60</v>
      </c>
      <c r="G21" s="10"/>
      <c r="H21" s="10"/>
    </row>
    <row r="22" spans="1:8" x14ac:dyDescent="0.3">
      <c r="A22" s="2" t="s">
        <v>11</v>
      </c>
      <c r="B22" t="s">
        <v>12</v>
      </c>
      <c r="C22" s="3">
        <v>4</v>
      </c>
      <c r="D22" t="s">
        <v>99</v>
      </c>
      <c r="E22" t="s">
        <v>100</v>
      </c>
      <c r="F22" s="9" t="s">
        <v>60</v>
      </c>
      <c r="G22" s="10"/>
      <c r="H22" s="10"/>
    </row>
    <row r="23" spans="1:8" x14ac:dyDescent="0.3">
      <c r="A23" s="2" t="s">
        <v>11</v>
      </c>
      <c r="B23" t="s">
        <v>12</v>
      </c>
      <c r="C23" s="3">
        <v>5</v>
      </c>
      <c r="D23" t="s">
        <v>101</v>
      </c>
      <c r="E23" t="s">
        <v>102</v>
      </c>
      <c r="F23" s="9" t="s">
        <v>60</v>
      </c>
      <c r="G23" s="10"/>
      <c r="H23" s="10"/>
    </row>
    <row r="24" spans="1:8" x14ac:dyDescent="0.3">
      <c r="A24" s="2" t="s">
        <v>11</v>
      </c>
      <c r="B24" t="s">
        <v>12</v>
      </c>
      <c r="C24" s="3">
        <v>6</v>
      </c>
      <c r="D24" t="s">
        <v>103</v>
      </c>
      <c r="E24" t="s">
        <v>104</v>
      </c>
      <c r="F24" s="9" t="s">
        <v>60</v>
      </c>
      <c r="G24" s="10"/>
      <c r="H24" s="10"/>
    </row>
    <row r="25" spans="1:8" x14ac:dyDescent="0.3">
      <c r="A25" s="2" t="s">
        <v>11</v>
      </c>
      <c r="B25" t="s">
        <v>12</v>
      </c>
      <c r="C25" s="3">
        <v>7</v>
      </c>
      <c r="D25" t="s">
        <v>105</v>
      </c>
      <c r="E25" t="s">
        <v>106</v>
      </c>
      <c r="F25" s="9" t="s">
        <v>60</v>
      </c>
      <c r="G25" s="10"/>
      <c r="H25" s="10"/>
    </row>
    <row r="26" spans="1:8" x14ac:dyDescent="0.3">
      <c r="A26" s="2" t="s">
        <v>11</v>
      </c>
      <c r="B26" t="s">
        <v>12</v>
      </c>
      <c r="C26" s="3">
        <v>8</v>
      </c>
      <c r="D26" t="s">
        <v>107</v>
      </c>
      <c r="E26" t="s">
        <v>108</v>
      </c>
      <c r="F26" s="9" t="s">
        <v>60</v>
      </c>
      <c r="G26" s="10"/>
      <c r="H26" s="10"/>
    </row>
    <row r="27" spans="1:8" x14ac:dyDescent="0.3">
      <c r="A27" s="2" t="s">
        <v>13</v>
      </c>
      <c r="B27" t="s">
        <v>14</v>
      </c>
      <c r="C27" s="3">
        <v>1</v>
      </c>
      <c r="D27" t="s">
        <v>109</v>
      </c>
      <c r="E27" t="s">
        <v>110</v>
      </c>
      <c r="F27" s="9" t="s">
        <v>60</v>
      </c>
      <c r="G27" s="10"/>
      <c r="H27" s="10"/>
    </row>
    <row r="28" spans="1:8" x14ac:dyDescent="0.3">
      <c r="A28" s="2" t="s">
        <v>13</v>
      </c>
      <c r="B28" t="s">
        <v>14</v>
      </c>
      <c r="C28" s="3">
        <v>2</v>
      </c>
      <c r="D28" t="s">
        <v>111</v>
      </c>
      <c r="E28" t="s">
        <v>112</v>
      </c>
      <c r="F28" s="9" t="s">
        <v>60</v>
      </c>
      <c r="G28" s="10"/>
      <c r="H28" s="10"/>
    </row>
    <row r="29" spans="1:8" x14ac:dyDescent="0.3">
      <c r="A29" s="2" t="s">
        <v>13</v>
      </c>
      <c r="B29" t="s">
        <v>14</v>
      </c>
      <c r="C29" s="3">
        <v>3</v>
      </c>
      <c r="D29" t="s">
        <v>113</v>
      </c>
      <c r="E29" t="s">
        <v>114</v>
      </c>
      <c r="F29" s="9" t="s">
        <v>60</v>
      </c>
      <c r="G29" s="10"/>
      <c r="H29" s="10"/>
    </row>
    <row r="30" spans="1:8" x14ac:dyDescent="0.3">
      <c r="A30" s="2" t="s">
        <v>13</v>
      </c>
      <c r="B30" t="s">
        <v>14</v>
      </c>
      <c r="C30" s="3">
        <v>4</v>
      </c>
      <c r="D30" t="s">
        <v>115</v>
      </c>
      <c r="E30" t="s">
        <v>116</v>
      </c>
      <c r="F30" s="9" t="s">
        <v>60</v>
      </c>
      <c r="G30" s="10"/>
      <c r="H30" s="10"/>
    </row>
    <row r="31" spans="1:8" x14ac:dyDescent="0.3">
      <c r="A31" s="2" t="s">
        <v>13</v>
      </c>
      <c r="B31" t="s">
        <v>14</v>
      </c>
      <c r="C31" s="3">
        <v>5</v>
      </c>
      <c r="D31" t="s">
        <v>117</v>
      </c>
      <c r="E31" t="s">
        <v>118</v>
      </c>
      <c r="F31" s="9" t="s">
        <v>60</v>
      </c>
      <c r="G31" s="10"/>
      <c r="H31" s="10"/>
    </row>
    <row r="32" spans="1:8" x14ac:dyDescent="0.3">
      <c r="A32" s="2" t="s">
        <v>13</v>
      </c>
      <c r="B32" t="s">
        <v>14</v>
      </c>
      <c r="C32" s="3">
        <v>6</v>
      </c>
      <c r="D32" t="s">
        <v>119</v>
      </c>
      <c r="E32" t="s">
        <v>120</v>
      </c>
      <c r="F32" s="9" t="s">
        <v>60</v>
      </c>
      <c r="G32" s="10"/>
      <c r="H32" s="10"/>
    </row>
    <row r="33" spans="1:8" x14ac:dyDescent="0.3">
      <c r="A33" s="2" t="s">
        <v>13</v>
      </c>
      <c r="B33" t="s">
        <v>14</v>
      </c>
      <c r="C33" s="3">
        <v>7</v>
      </c>
      <c r="D33" t="s">
        <v>121</v>
      </c>
      <c r="E33" t="s">
        <v>122</v>
      </c>
      <c r="F33" s="9" t="s">
        <v>60</v>
      </c>
      <c r="G33" s="10"/>
      <c r="H33" s="10"/>
    </row>
    <row r="34" spans="1:8" x14ac:dyDescent="0.3">
      <c r="A34" s="2" t="s">
        <v>13</v>
      </c>
      <c r="B34" t="s">
        <v>14</v>
      </c>
      <c r="C34" s="3">
        <v>8</v>
      </c>
      <c r="D34" t="s">
        <v>123</v>
      </c>
      <c r="E34" t="s">
        <v>124</v>
      </c>
      <c r="F34" s="9" t="s">
        <v>60</v>
      </c>
      <c r="G34" s="10"/>
      <c r="H34" s="10"/>
    </row>
    <row r="35" spans="1:8" x14ac:dyDescent="0.3">
      <c r="A35" s="2" t="s">
        <v>15</v>
      </c>
      <c r="B35" t="s">
        <v>16</v>
      </c>
      <c r="C35" s="3">
        <v>1</v>
      </c>
      <c r="D35" t="s">
        <v>125</v>
      </c>
      <c r="E35" t="s">
        <v>126</v>
      </c>
      <c r="F35" s="9" t="s">
        <v>60</v>
      </c>
      <c r="G35" s="10"/>
      <c r="H35" s="10"/>
    </row>
    <row r="36" spans="1:8" x14ac:dyDescent="0.3">
      <c r="A36" s="2" t="s">
        <v>15</v>
      </c>
      <c r="B36" t="s">
        <v>16</v>
      </c>
      <c r="C36" s="3">
        <v>2</v>
      </c>
      <c r="D36" t="s">
        <v>127</v>
      </c>
      <c r="E36" t="s">
        <v>128</v>
      </c>
      <c r="F36" s="9" t="s">
        <v>60</v>
      </c>
      <c r="G36" s="10"/>
      <c r="H36" s="10"/>
    </row>
    <row r="37" spans="1:8" x14ac:dyDescent="0.3">
      <c r="A37" s="2" t="s">
        <v>15</v>
      </c>
      <c r="B37" t="s">
        <v>16</v>
      </c>
      <c r="C37" s="3">
        <v>3</v>
      </c>
      <c r="D37" t="s">
        <v>129</v>
      </c>
      <c r="E37" t="s">
        <v>130</v>
      </c>
      <c r="F37" s="9" t="s">
        <v>60</v>
      </c>
      <c r="G37" s="10"/>
      <c r="H37" s="10"/>
    </row>
    <row r="38" spans="1:8" x14ac:dyDescent="0.3">
      <c r="A38" s="2" t="s">
        <v>15</v>
      </c>
      <c r="B38" t="s">
        <v>16</v>
      </c>
      <c r="C38" s="3">
        <v>4</v>
      </c>
      <c r="D38" t="s">
        <v>131</v>
      </c>
      <c r="E38" t="s">
        <v>132</v>
      </c>
      <c r="F38" s="9" t="s">
        <v>60</v>
      </c>
      <c r="G38" s="10"/>
      <c r="H38" s="10"/>
    </row>
    <row r="39" spans="1:8" x14ac:dyDescent="0.3">
      <c r="A39" s="2" t="s">
        <v>15</v>
      </c>
      <c r="B39" t="s">
        <v>16</v>
      </c>
      <c r="C39" s="3">
        <v>5</v>
      </c>
      <c r="D39" t="s">
        <v>133</v>
      </c>
      <c r="E39" t="s">
        <v>134</v>
      </c>
      <c r="F39" s="9" t="s">
        <v>60</v>
      </c>
      <c r="G39" s="10"/>
      <c r="H39" s="10"/>
    </row>
    <row r="40" spans="1:8" x14ac:dyDescent="0.3">
      <c r="A40" s="2" t="s">
        <v>15</v>
      </c>
      <c r="B40" t="s">
        <v>16</v>
      </c>
      <c r="C40" s="3">
        <v>6</v>
      </c>
      <c r="D40" t="s">
        <v>135</v>
      </c>
      <c r="E40" t="s">
        <v>136</v>
      </c>
      <c r="F40" s="9" t="s">
        <v>60</v>
      </c>
      <c r="G40" s="10"/>
      <c r="H40" s="10"/>
    </row>
    <row r="41" spans="1:8" x14ac:dyDescent="0.3">
      <c r="A41" s="2" t="s">
        <v>17</v>
      </c>
      <c r="B41" t="s">
        <v>18</v>
      </c>
      <c r="C41" s="3">
        <v>1</v>
      </c>
      <c r="D41" t="s">
        <v>137</v>
      </c>
      <c r="E41" t="s">
        <v>138</v>
      </c>
      <c r="F41" s="9" t="s">
        <v>60</v>
      </c>
      <c r="G41" s="10"/>
      <c r="H41" s="10"/>
    </row>
    <row r="42" spans="1:8" x14ac:dyDescent="0.3">
      <c r="A42" s="2" t="s">
        <v>17</v>
      </c>
      <c r="B42" t="s">
        <v>18</v>
      </c>
      <c r="C42" s="3">
        <v>2</v>
      </c>
      <c r="D42" t="s">
        <v>139</v>
      </c>
      <c r="E42" t="s">
        <v>140</v>
      </c>
      <c r="F42" s="9" t="s">
        <v>60</v>
      </c>
      <c r="G42" s="10"/>
      <c r="H42" s="10"/>
    </row>
    <row r="43" spans="1:8" x14ac:dyDescent="0.3">
      <c r="A43" s="2" t="s">
        <v>17</v>
      </c>
      <c r="B43" t="s">
        <v>18</v>
      </c>
      <c r="C43" s="3">
        <v>3</v>
      </c>
      <c r="D43" t="s">
        <v>141</v>
      </c>
      <c r="E43" t="s">
        <v>142</v>
      </c>
      <c r="F43" s="9" t="s">
        <v>60</v>
      </c>
      <c r="G43" s="10"/>
      <c r="H43" s="10"/>
    </row>
    <row r="44" spans="1:8" x14ac:dyDescent="0.3">
      <c r="A44" s="2" t="s">
        <v>17</v>
      </c>
      <c r="B44" t="s">
        <v>18</v>
      </c>
      <c r="C44" s="3">
        <v>4</v>
      </c>
      <c r="D44" t="s">
        <v>143</v>
      </c>
      <c r="E44" t="s">
        <v>144</v>
      </c>
      <c r="F44" s="9" t="s">
        <v>60</v>
      </c>
      <c r="G44" s="10"/>
      <c r="H44" s="10"/>
    </row>
    <row r="45" spans="1:8" x14ac:dyDescent="0.3">
      <c r="A45" s="2" t="s">
        <v>17</v>
      </c>
      <c r="B45" t="s">
        <v>18</v>
      </c>
      <c r="C45" s="3">
        <v>5</v>
      </c>
      <c r="D45" t="s">
        <v>145</v>
      </c>
      <c r="E45" t="s">
        <v>146</v>
      </c>
      <c r="F45" s="9" t="s">
        <v>60</v>
      </c>
      <c r="G45" s="10"/>
      <c r="H45" s="10"/>
    </row>
    <row r="46" spans="1:8" x14ac:dyDescent="0.3">
      <c r="A46" s="2" t="s">
        <v>17</v>
      </c>
      <c r="B46" t="s">
        <v>18</v>
      </c>
      <c r="C46" s="3">
        <v>6</v>
      </c>
      <c r="D46" t="s">
        <v>147</v>
      </c>
      <c r="E46" t="s">
        <v>148</v>
      </c>
      <c r="F46" s="9" t="s">
        <v>60</v>
      </c>
      <c r="G46" s="10"/>
      <c r="H46" s="10"/>
    </row>
    <row r="47" spans="1:8" x14ac:dyDescent="0.3">
      <c r="A47" s="2" t="s">
        <v>17</v>
      </c>
      <c r="B47" t="s">
        <v>18</v>
      </c>
      <c r="C47" s="3">
        <v>7</v>
      </c>
      <c r="D47" t="s">
        <v>149</v>
      </c>
      <c r="E47" t="s">
        <v>150</v>
      </c>
      <c r="F47" s="9" t="s">
        <v>60</v>
      </c>
      <c r="G47" s="10"/>
      <c r="H47" s="10"/>
    </row>
    <row r="48" spans="1:8" x14ac:dyDescent="0.3">
      <c r="A48" s="2" t="s">
        <v>19</v>
      </c>
      <c r="B48" t="s">
        <v>20</v>
      </c>
      <c r="C48" s="3">
        <v>1</v>
      </c>
      <c r="D48" t="s">
        <v>151</v>
      </c>
      <c r="E48" t="s">
        <v>152</v>
      </c>
      <c r="F48" s="9" t="s">
        <v>60</v>
      </c>
      <c r="G48" s="10"/>
      <c r="H48" s="10"/>
    </row>
    <row r="49" spans="1:8" x14ac:dyDescent="0.3">
      <c r="A49" s="2" t="s">
        <v>19</v>
      </c>
      <c r="B49" t="s">
        <v>20</v>
      </c>
      <c r="C49" s="3">
        <v>2</v>
      </c>
      <c r="D49" t="s">
        <v>153</v>
      </c>
      <c r="E49" t="s">
        <v>154</v>
      </c>
      <c r="F49" s="9" t="s">
        <v>60</v>
      </c>
      <c r="G49" s="10"/>
      <c r="H49" s="10"/>
    </row>
    <row r="50" spans="1:8" x14ac:dyDescent="0.3">
      <c r="A50" s="2" t="s">
        <v>19</v>
      </c>
      <c r="B50" t="s">
        <v>20</v>
      </c>
      <c r="C50" s="3">
        <v>3</v>
      </c>
      <c r="D50" t="s">
        <v>155</v>
      </c>
      <c r="E50" t="s">
        <v>156</v>
      </c>
      <c r="F50" s="9" t="s">
        <v>60</v>
      </c>
      <c r="G50" s="10"/>
      <c r="H50" s="10"/>
    </row>
    <row r="51" spans="1:8" x14ac:dyDescent="0.3">
      <c r="A51" s="2" t="s">
        <v>19</v>
      </c>
      <c r="B51" t="s">
        <v>20</v>
      </c>
      <c r="C51" s="3">
        <v>4</v>
      </c>
      <c r="D51" t="s">
        <v>157</v>
      </c>
      <c r="E51" t="s">
        <v>158</v>
      </c>
      <c r="F51" s="9" t="s">
        <v>60</v>
      </c>
      <c r="G51" s="10"/>
      <c r="H51" s="10"/>
    </row>
    <row r="52" spans="1:8" x14ac:dyDescent="0.3">
      <c r="A52" s="2" t="s">
        <v>19</v>
      </c>
      <c r="B52" t="s">
        <v>20</v>
      </c>
      <c r="C52" s="3">
        <v>5</v>
      </c>
      <c r="D52" t="s">
        <v>159</v>
      </c>
      <c r="E52" t="s">
        <v>160</v>
      </c>
      <c r="F52" s="9" t="s">
        <v>60</v>
      </c>
      <c r="G52" s="10"/>
      <c r="H52" s="10"/>
    </row>
    <row r="53" spans="1:8" x14ac:dyDescent="0.3">
      <c r="A53" s="2" t="s">
        <v>19</v>
      </c>
      <c r="B53" t="s">
        <v>20</v>
      </c>
      <c r="C53" s="3">
        <v>6</v>
      </c>
      <c r="D53" t="s">
        <v>161</v>
      </c>
      <c r="E53" t="s">
        <v>162</v>
      </c>
      <c r="F53" s="9" t="s">
        <v>60</v>
      </c>
      <c r="G53" s="10"/>
      <c r="H53" s="10"/>
    </row>
    <row r="54" spans="1:8" x14ac:dyDescent="0.3">
      <c r="A54" s="2" t="s">
        <v>21</v>
      </c>
      <c r="B54" t="s">
        <v>22</v>
      </c>
      <c r="C54" s="3">
        <v>1</v>
      </c>
      <c r="D54" t="s">
        <v>163</v>
      </c>
      <c r="E54" t="s">
        <v>164</v>
      </c>
      <c r="F54" s="9" t="s">
        <v>60</v>
      </c>
      <c r="G54" s="10"/>
      <c r="H54" s="10"/>
    </row>
    <row r="55" spans="1:8" x14ac:dyDescent="0.3">
      <c r="A55" s="2" t="s">
        <v>21</v>
      </c>
      <c r="B55" t="s">
        <v>22</v>
      </c>
      <c r="C55" s="3">
        <v>2</v>
      </c>
      <c r="D55" t="s">
        <v>165</v>
      </c>
      <c r="E55" t="s">
        <v>166</v>
      </c>
      <c r="F55" s="9" t="s">
        <v>60</v>
      </c>
      <c r="G55" s="10"/>
      <c r="H55" s="10"/>
    </row>
    <row r="56" spans="1:8" x14ac:dyDescent="0.3">
      <c r="A56" s="2" t="s">
        <v>21</v>
      </c>
      <c r="B56" t="s">
        <v>22</v>
      </c>
      <c r="C56" s="3">
        <v>3</v>
      </c>
      <c r="D56" t="s">
        <v>167</v>
      </c>
      <c r="E56" t="s">
        <v>168</v>
      </c>
      <c r="F56" s="9" t="s">
        <v>60</v>
      </c>
      <c r="G56" s="10"/>
      <c r="H56" s="10"/>
    </row>
    <row r="57" spans="1:8" x14ac:dyDescent="0.3">
      <c r="A57" s="2" t="s">
        <v>21</v>
      </c>
      <c r="B57" t="s">
        <v>22</v>
      </c>
      <c r="C57" s="3">
        <v>4</v>
      </c>
      <c r="D57" t="s">
        <v>169</v>
      </c>
      <c r="E57" t="s">
        <v>170</v>
      </c>
      <c r="F57" s="9" t="s">
        <v>60</v>
      </c>
      <c r="G57" s="10"/>
      <c r="H57" s="10"/>
    </row>
    <row r="58" spans="1:8" x14ac:dyDescent="0.3">
      <c r="A58" s="2" t="s">
        <v>21</v>
      </c>
      <c r="B58" t="s">
        <v>22</v>
      </c>
      <c r="C58" s="3">
        <v>5</v>
      </c>
      <c r="D58" t="s">
        <v>171</v>
      </c>
      <c r="E58" t="s">
        <v>172</v>
      </c>
      <c r="F58" s="9" t="s">
        <v>60</v>
      </c>
      <c r="G58" s="10"/>
      <c r="H58" s="10"/>
    </row>
    <row r="59" spans="1:8" x14ac:dyDescent="0.3">
      <c r="A59" s="2" t="s">
        <v>21</v>
      </c>
      <c r="B59" t="s">
        <v>22</v>
      </c>
      <c r="C59" s="3">
        <v>6</v>
      </c>
      <c r="D59" t="s">
        <v>173</v>
      </c>
      <c r="E59" t="s">
        <v>174</v>
      </c>
      <c r="F59" s="9" t="s">
        <v>60</v>
      </c>
      <c r="G59" s="10"/>
      <c r="H59" s="10"/>
    </row>
    <row r="60" spans="1:8" x14ac:dyDescent="0.3">
      <c r="A60" s="2" t="s">
        <v>21</v>
      </c>
      <c r="B60" t="s">
        <v>22</v>
      </c>
      <c r="C60" s="3">
        <v>7</v>
      </c>
      <c r="D60" t="s">
        <v>175</v>
      </c>
      <c r="E60" t="s">
        <v>176</v>
      </c>
      <c r="F60" s="9" t="s">
        <v>60</v>
      </c>
      <c r="G60" s="10"/>
      <c r="H60" s="10"/>
    </row>
    <row r="61" spans="1:8" x14ac:dyDescent="0.3">
      <c r="A61" s="2" t="s">
        <v>23</v>
      </c>
      <c r="B61" t="s">
        <v>24</v>
      </c>
      <c r="C61" s="3">
        <v>1</v>
      </c>
      <c r="D61" t="s">
        <v>177</v>
      </c>
      <c r="E61" t="s">
        <v>178</v>
      </c>
      <c r="F61" s="9" t="s">
        <v>60</v>
      </c>
      <c r="G61" s="10"/>
      <c r="H61" s="10"/>
    </row>
    <row r="62" spans="1:8" x14ac:dyDescent="0.3">
      <c r="A62" s="2" t="s">
        <v>23</v>
      </c>
      <c r="B62" t="s">
        <v>24</v>
      </c>
      <c r="C62" s="3">
        <v>2</v>
      </c>
      <c r="D62" t="s">
        <v>179</v>
      </c>
      <c r="E62" t="s">
        <v>180</v>
      </c>
      <c r="F62" s="9" t="s">
        <v>60</v>
      </c>
      <c r="G62" s="10"/>
      <c r="H62" s="10"/>
    </row>
    <row r="63" spans="1:8" x14ac:dyDescent="0.3">
      <c r="A63" s="2" t="s">
        <v>23</v>
      </c>
      <c r="B63" t="s">
        <v>24</v>
      </c>
      <c r="C63" s="3">
        <v>3</v>
      </c>
      <c r="D63" t="s">
        <v>181</v>
      </c>
      <c r="E63" t="s">
        <v>182</v>
      </c>
      <c r="F63" s="9" t="s">
        <v>60</v>
      </c>
      <c r="G63" s="10"/>
      <c r="H63" s="10"/>
    </row>
    <row r="64" spans="1:8" x14ac:dyDescent="0.3">
      <c r="A64" s="2" t="s">
        <v>23</v>
      </c>
      <c r="B64" t="s">
        <v>24</v>
      </c>
      <c r="C64" s="3">
        <v>4</v>
      </c>
      <c r="D64" t="s">
        <v>183</v>
      </c>
      <c r="E64" t="s">
        <v>184</v>
      </c>
      <c r="F64" s="9" t="s">
        <v>60</v>
      </c>
      <c r="G64" s="10"/>
      <c r="H64" s="10"/>
    </row>
    <row r="65" spans="1:8" x14ac:dyDescent="0.3">
      <c r="A65" s="2" t="s">
        <v>23</v>
      </c>
      <c r="B65" t="s">
        <v>24</v>
      </c>
      <c r="C65" s="3">
        <v>5</v>
      </c>
      <c r="D65" t="s">
        <v>185</v>
      </c>
      <c r="E65" t="s">
        <v>186</v>
      </c>
      <c r="F65" s="9" t="s">
        <v>60</v>
      </c>
      <c r="G65" s="10"/>
      <c r="H65" s="10"/>
    </row>
    <row r="66" spans="1:8" x14ac:dyDescent="0.3">
      <c r="A66" s="2" t="s">
        <v>25</v>
      </c>
      <c r="B66" t="s">
        <v>26</v>
      </c>
      <c r="C66" s="3">
        <v>1</v>
      </c>
      <c r="D66" t="s">
        <v>187</v>
      </c>
      <c r="E66" t="s">
        <v>188</v>
      </c>
      <c r="F66" s="9" t="s">
        <v>60</v>
      </c>
      <c r="G66" s="10"/>
      <c r="H66" s="10"/>
    </row>
    <row r="67" spans="1:8" x14ac:dyDescent="0.3">
      <c r="A67" s="2" t="s">
        <v>25</v>
      </c>
      <c r="B67" t="s">
        <v>26</v>
      </c>
      <c r="C67" s="3">
        <v>2</v>
      </c>
      <c r="D67" t="s">
        <v>189</v>
      </c>
      <c r="E67" t="s">
        <v>190</v>
      </c>
      <c r="F67" s="9" t="s">
        <v>60</v>
      </c>
      <c r="G67" s="10"/>
      <c r="H67" s="10"/>
    </row>
    <row r="68" spans="1:8" x14ac:dyDescent="0.3">
      <c r="A68" s="2" t="s">
        <v>25</v>
      </c>
      <c r="B68" t="s">
        <v>26</v>
      </c>
      <c r="C68" s="3">
        <v>3</v>
      </c>
      <c r="D68" t="s">
        <v>191</v>
      </c>
      <c r="E68" t="s">
        <v>192</v>
      </c>
      <c r="F68" s="9" t="s">
        <v>60</v>
      </c>
      <c r="G68" s="10"/>
      <c r="H68" s="10"/>
    </row>
    <row r="69" spans="1:8" x14ac:dyDescent="0.3">
      <c r="A69" s="2" t="s">
        <v>25</v>
      </c>
      <c r="B69" t="s">
        <v>26</v>
      </c>
      <c r="C69" s="3">
        <v>4</v>
      </c>
      <c r="D69" t="s">
        <v>193</v>
      </c>
      <c r="E69" t="s">
        <v>194</v>
      </c>
      <c r="F69" s="9" t="s">
        <v>60</v>
      </c>
      <c r="G69" s="10"/>
      <c r="H69" s="10"/>
    </row>
    <row r="70" spans="1:8" x14ac:dyDescent="0.3">
      <c r="A70" s="2" t="s">
        <v>25</v>
      </c>
      <c r="B70" t="s">
        <v>26</v>
      </c>
      <c r="C70" s="3">
        <v>5</v>
      </c>
      <c r="D70" t="s">
        <v>195</v>
      </c>
      <c r="E70" t="s">
        <v>196</v>
      </c>
      <c r="F70" s="9" t="s">
        <v>60</v>
      </c>
      <c r="G70" s="10"/>
      <c r="H70" s="10"/>
    </row>
    <row r="71" spans="1:8" x14ac:dyDescent="0.3">
      <c r="A71" s="2" t="s">
        <v>27</v>
      </c>
      <c r="B71" t="s">
        <v>28</v>
      </c>
      <c r="C71" s="3">
        <v>1</v>
      </c>
      <c r="D71" t="s">
        <v>197</v>
      </c>
      <c r="E71" t="s">
        <v>198</v>
      </c>
      <c r="F71" s="9" t="s">
        <v>60</v>
      </c>
      <c r="G71" s="10"/>
      <c r="H71" s="10"/>
    </row>
    <row r="72" spans="1:8" x14ac:dyDescent="0.3">
      <c r="A72" s="2" t="s">
        <v>27</v>
      </c>
      <c r="B72" t="s">
        <v>28</v>
      </c>
      <c r="C72" s="3">
        <v>2</v>
      </c>
      <c r="D72" t="s">
        <v>199</v>
      </c>
      <c r="E72" t="s">
        <v>200</v>
      </c>
      <c r="F72" s="9" t="s">
        <v>60</v>
      </c>
      <c r="G72" s="10"/>
      <c r="H72" s="10"/>
    </row>
    <row r="73" spans="1:8" x14ac:dyDescent="0.3">
      <c r="A73" s="2" t="s">
        <v>27</v>
      </c>
      <c r="B73" t="s">
        <v>28</v>
      </c>
      <c r="C73" s="3">
        <v>3</v>
      </c>
      <c r="D73" t="s">
        <v>201</v>
      </c>
      <c r="E73" t="s">
        <v>202</v>
      </c>
      <c r="F73" s="9" t="s">
        <v>60</v>
      </c>
      <c r="G73" s="10"/>
      <c r="H73" s="10"/>
    </row>
    <row r="74" spans="1:8" x14ac:dyDescent="0.3">
      <c r="A74" s="2" t="s">
        <v>27</v>
      </c>
      <c r="B74" t="s">
        <v>28</v>
      </c>
      <c r="C74" s="3">
        <v>4</v>
      </c>
      <c r="D74" t="s">
        <v>203</v>
      </c>
      <c r="E74" t="s">
        <v>204</v>
      </c>
      <c r="F74" s="9" t="s">
        <v>60</v>
      </c>
      <c r="G74" s="10"/>
      <c r="H74" s="10"/>
    </row>
    <row r="75" spans="1:8" x14ac:dyDescent="0.3">
      <c r="A75" s="2" t="s">
        <v>27</v>
      </c>
      <c r="B75" t="s">
        <v>28</v>
      </c>
      <c r="C75" s="3">
        <v>5</v>
      </c>
      <c r="D75" t="s">
        <v>205</v>
      </c>
      <c r="E75" t="s">
        <v>206</v>
      </c>
      <c r="F75" s="9" t="s">
        <v>60</v>
      </c>
      <c r="G75" s="10"/>
      <c r="H75" s="10"/>
    </row>
    <row r="76" spans="1:8" x14ac:dyDescent="0.3">
      <c r="A76" s="2" t="s">
        <v>27</v>
      </c>
      <c r="B76" t="s">
        <v>28</v>
      </c>
      <c r="C76" s="3">
        <v>6</v>
      </c>
      <c r="D76" t="s">
        <v>207</v>
      </c>
      <c r="E76" t="s">
        <v>208</v>
      </c>
      <c r="F76" s="9" t="s">
        <v>60</v>
      </c>
      <c r="G76" s="10"/>
      <c r="H76" s="10"/>
    </row>
    <row r="77" spans="1:8" x14ac:dyDescent="0.3">
      <c r="A77" s="2" t="s">
        <v>27</v>
      </c>
      <c r="B77" t="s">
        <v>28</v>
      </c>
      <c r="C77" s="3">
        <v>7</v>
      </c>
      <c r="D77" t="s">
        <v>209</v>
      </c>
      <c r="E77" t="s">
        <v>210</v>
      </c>
      <c r="F77" s="9" t="s">
        <v>60</v>
      </c>
      <c r="G77" s="10"/>
      <c r="H77" s="10"/>
    </row>
    <row r="78" spans="1:8" x14ac:dyDescent="0.3">
      <c r="A78" s="2" t="s">
        <v>27</v>
      </c>
      <c r="B78" t="s">
        <v>28</v>
      </c>
      <c r="C78" s="3">
        <v>8</v>
      </c>
      <c r="D78" t="s">
        <v>211</v>
      </c>
      <c r="E78" t="s">
        <v>212</v>
      </c>
      <c r="F78" s="9" t="s">
        <v>60</v>
      </c>
      <c r="G78" s="10"/>
      <c r="H78" s="10"/>
    </row>
    <row r="79" spans="1:8" x14ac:dyDescent="0.3">
      <c r="A79" s="2" t="s">
        <v>29</v>
      </c>
      <c r="B79" t="s">
        <v>30</v>
      </c>
      <c r="C79" s="3">
        <v>1</v>
      </c>
      <c r="D79" t="s">
        <v>213</v>
      </c>
      <c r="E79" t="s">
        <v>214</v>
      </c>
      <c r="F79" s="9" t="s">
        <v>60</v>
      </c>
      <c r="G79" s="10"/>
      <c r="H79" s="10"/>
    </row>
    <row r="80" spans="1:8" x14ac:dyDescent="0.3">
      <c r="A80" s="2" t="s">
        <v>29</v>
      </c>
      <c r="B80" t="s">
        <v>30</v>
      </c>
      <c r="C80" s="3">
        <v>2</v>
      </c>
      <c r="D80" t="s">
        <v>215</v>
      </c>
      <c r="E80" t="s">
        <v>216</v>
      </c>
      <c r="F80" s="9" t="s">
        <v>60</v>
      </c>
      <c r="G80" s="10"/>
      <c r="H80" s="10"/>
    </row>
    <row r="81" spans="1:8" x14ac:dyDescent="0.3">
      <c r="A81" s="2" t="s">
        <v>29</v>
      </c>
      <c r="B81" t="s">
        <v>30</v>
      </c>
      <c r="C81" s="3">
        <v>3</v>
      </c>
      <c r="D81" t="s">
        <v>217</v>
      </c>
      <c r="E81" t="s">
        <v>218</v>
      </c>
      <c r="F81" s="9" t="s">
        <v>60</v>
      </c>
      <c r="G81" s="10"/>
      <c r="H81" s="10"/>
    </row>
    <row r="82" spans="1:8" x14ac:dyDescent="0.3">
      <c r="A82" s="2" t="s">
        <v>29</v>
      </c>
      <c r="B82" t="s">
        <v>30</v>
      </c>
      <c r="C82" s="3">
        <v>4</v>
      </c>
      <c r="D82" t="s">
        <v>219</v>
      </c>
      <c r="E82" t="s">
        <v>220</v>
      </c>
      <c r="F82" s="9" t="s">
        <v>60</v>
      </c>
      <c r="G82" s="10"/>
      <c r="H82" s="10"/>
    </row>
    <row r="83" spans="1:8" x14ac:dyDescent="0.3">
      <c r="A83" s="2" t="s">
        <v>29</v>
      </c>
      <c r="B83" t="s">
        <v>30</v>
      </c>
      <c r="C83" s="3">
        <v>5</v>
      </c>
      <c r="D83" t="s">
        <v>221</v>
      </c>
      <c r="E83" t="s">
        <v>222</v>
      </c>
      <c r="F83" s="9" t="s">
        <v>60</v>
      </c>
      <c r="G83" s="10"/>
      <c r="H83" s="10"/>
    </row>
    <row r="84" spans="1:8" x14ac:dyDescent="0.3">
      <c r="A84" s="2" t="s">
        <v>31</v>
      </c>
      <c r="B84" t="s">
        <v>32</v>
      </c>
      <c r="C84" s="3">
        <v>1</v>
      </c>
      <c r="D84" t="s">
        <v>223</v>
      </c>
      <c r="E84" t="s">
        <v>224</v>
      </c>
      <c r="F84" s="9" t="s">
        <v>60</v>
      </c>
      <c r="G84" s="10"/>
      <c r="H84" s="10"/>
    </row>
    <row r="85" spans="1:8" x14ac:dyDescent="0.3">
      <c r="A85" s="2" t="s">
        <v>31</v>
      </c>
      <c r="B85" t="s">
        <v>32</v>
      </c>
      <c r="C85" s="3">
        <v>2</v>
      </c>
      <c r="D85" t="s">
        <v>225</v>
      </c>
      <c r="E85" t="s">
        <v>226</v>
      </c>
      <c r="F85" s="9" t="s">
        <v>60</v>
      </c>
      <c r="G85" s="10"/>
      <c r="H85" s="10"/>
    </row>
    <row r="86" spans="1:8" x14ac:dyDescent="0.3">
      <c r="A86" s="2" t="s">
        <v>31</v>
      </c>
      <c r="B86" t="s">
        <v>32</v>
      </c>
      <c r="C86" s="3">
        <v>3</v>
      </c>
      <c r="D86" t="s">
        <v>227</v>
      </c>
      <c r="E86" t="s">
        <v>228</v>
      </c>
      <c r="F86" s="9" t="s">
        <v>60</v>
      </c>
      <c r="G86" s="10"/>
      <c r="H86" s="10"/>
    </row>
    <row r="87" spans="1:8" x14ac:dyDescent="0.3">
      <c r="A87" s="2" t="s">
        <v>31</v>
      </c>
      <c r="B87" t="s">
        <v>32</v>
      </c>
      <c r="C87" s="3">
        <v>4</v>
      </c>
      <c r="D87" t="s">
        <v>229</v>
      </c>
      <c r="E87" t="s">
        <v>230</v>
      </c>
      <c r="F87" s="9" t="s">
        <v>60</v>
      </c>
      <c r="G87" s="10"/>
      <c r="H87" s="10"/>
    </row>
    <row r="88" spans="1:8" x14ac:dyDescent="0.3">
      <c r="A88" s="2" t="s">
        <v>31</v>
      </c>
      <c r="B88" t="s">
        <v>32</v>
      </c>
      <c r="C88" s="3">
        <v>5</v>
      </c>
      <c r="D88" t="s">
        <v>231</v>
      </c>
      <c r="E88" t="s">
        <v>232</v>
      </c>
      <c r="F88" s="9" t="s">
        <v>60</v>
      </c>
      <c r="G88" s="10"/>
      <c r="H88" s="10"/>
    </row>
    <row r="89" spans="1:8" x14ac:dyDescent="0.3">
      <c r="A89" s="2" t="s">
        <v>33</v>
      </c>
      <c r="B89" t="s">
        <v>34</v>
      </c>
      <c r="C89" s="3">
        <v>1</v>
      </c>
      <c r="D89" t="s">
        <v>233</v>
      </c>
      <c r="E89" t="s">
        <v>234</v>
      </c>
      <c r="F89" s="9" t="s">
        <v>60</v>
      </c>
      <c r="G89" s="10"/>
      <c r="H89" s="10"/>
    </row>
    <row r="90" spans="1:8" x14ac:dyDescent="0.3">
      <c r="A90" s="2" t="s">
        <v>33</v>
      </c>
      <c r="B90" t="s">
        <v>34</v>
      </c>
      <c r="C90" s="3">
        <v>2</v>
      </c>
      <c r="D90" t="s">
        <v>235</v>
      </c>
      <c r="E90" t="s">
        <v>236</v>
      </c>
      <c r="F90" s="9" t="s">
        <v>60</v>
      </c>
      <c r="G90" s="10"/>
      <c r="H90" s="10"/>
    </row>
    <row r="91" spans="1:8" x14ac:dyDescent="0.3">
      <c r="A91" s="2" t="s">
        <v>33</v>
      </c>
      <c r="B91" t="s">
        <v>34</v>
      </c>
      <c r="C91" s="3">
        <v>3</v>
      </c>
      <c r="D91" t="s">
        <v>237</v>
      </c>
      <c r="E91" t="s">
        <v>238</v>
      </c>
      <c r="F91" s="9" t="s">
        <v>60</v>
      </c>
      <c r="G91" s="10"/>
      <c r="H91" s="10"/>
    </row>
    <row r="92" spans="1:8" x14ac:dyDescent="0.3">
      <c r="A92" s="2" t="s">
        <v>33</v>
      </c>
      <c r="B92" t="s">
        <v>34</v>
      </c>
      <c r="C92" s="3">
        <v>4</v>
      </c>
      <c r="D92" t="s">
        <v>239</v>
      </c>
      <c r="E92" t="s">
        <v>240</v>
      </c>
      <c r="F92" s="9" t="s">
        <v>60</v>
      </c>
      <c r="G92" s="10"/>
      <c r="H92" s="10"/>
    </row>
    <row r="93" spans="1:8" x14ac:dyDescent="0.3">
      <c r="A93" s="2" t="s">
        <v>33</v>
      </c>
      <c r="B93" t="s">
        <v>34</v>
      </c>
      <c r="C93" s="3">
        <v>5</v>
      </c>
      <c r="D93" t="s">
        <v>241</v>
      </c>
      <c r="E93" t="s">
        <v>242</v>
      </c>
      <c r="F93" s="9" t="s">
        <v>60</v>
      </c>
      <c r="G93" s="10"/>
      <c r="H93" s="10"/>
    </row>
    <row r="94" spans="1:8" x14ac:dyDescent="0.3">
      <c r="A94" s="2" t="s">
        <v>35</v>
      </c>
      <c r="B94" t="s">
        <v>2</v>
      </c>
      <c r="C94" s="3">
        <v>1</v>
      </c>
      <c r="D94" t="s">
        <v>243</v>
      </c>
      <c r="E94" t="s">
        <v>244</v>
      </c>
      <c r="F94" s="9" t="s">
        <v>60</v>
      </c>
      <c r="G94" s="10"/>
      <c r="H94" s="10"/>
    </row>
    <row r="95" spans="1:8" x14ac:dyDescent="0.3">
      <c r="A95" s="2" t="s">
        <v>35</v>
      </c>
      <c r="B95" t="s">
        <v>2</v>
      </c>
      <c r="C95" s="3">
        <v>2</v>
      </c>
      <c r="D95" t="s">
        <v>245</v>
      </c>
      <c r="E95" t="s">
        <v>246</v>
      </c>
      <c r="F95" s="9" t="s">
        <v>60</v>
      </c>
      <c r="G95" s="10"/>
      <c r="H95" s="10"/>
    </row>
    <row r="96" spans="1:8" x14ac:dyDescent="0.3">
      <c r="A96" s="2" t="s">
        <v>35</v>
      </c>
      <c r="B96" t="s">
        <v>2</v>
      </c>
      <c r="C96" s="3">
        <v>3</v>
      </c>
      <c r="D96" t="s">
        <v>247</v>
      </c>
      <c r="E96" t="s">
        <v>248</v>
      </c>
      <c r="F96" s="9" t="s">
        <v>60</v>
      </c>
      <c r="G96" s="10"/>
      <c r="H96" s="10"/>
    </row>
    <row r="97" spans="1:8" x14ac:dyDescent="0.3">
      <c r="A97" s="2" t="s">
        <v>35</v>
      </c>
      <c r="B97" t="s">
        <v>2</v>
      </c>
      <c r="C97" s="3">
        <v>4</v>
      </c>
      <c r="D97" t="s">
        <v>249</v>
      </c>
      <c r="E97" t="s">
        <v>250</v>
      </c>
      <c r="F97" s="9" t="s">
        <v>60</v>
      </c>
      <c r="G97" s="10"/>
      <c r="H97" s="10"/>
    </row>
    <row r="98" spans="1:8" x14ac:dyDescent="0.3">
      <c r="A98" s="2" t="s">
        <v>35</v>
      </c>
      <c r="B98" t="s">
        <v>2</v>
      </c>
      <c r="C98" s="3">
        <v>5</v>
      </c>
      <c r="D98" t="s">
        <v>251</v>
      </c>
      <c r="E98" t="s">
        <v>252</v>
      </c>
      <c r="F98" s="9" t="s">
        <v>60</v>
      </c>
      <c r="G98" s="10"/>
      <c r="H98" s="10"/>
    </row>
    <row r="99" spans="1:8" x14ac:dyDescent="0.3">
      <c r="A99" s="2" t="s">
        <v>35</v>
      </c>
      <c r="B99" t="s">
        <v>2</v>
      </c>
      <c r="C99" s="3">
        <v>6</v>
      </c>
      <c r="D99" t="s">
        <v>253</v>
      </c>
      <c r="E99" t="s">
        <v>254</v>
      </c>
      <c r="F99" s="9" t="s">
        <v>60</v>
      </c>
      <c r="G99" s="10"/>
      <c r="H99" s="10"/>
    </row>
    <row r="100" spans="1:8" x14ac:dyDescent="0.3">
      <c r="A100" s="2" t="s">
        <v>36</v>
      </c>
      <c r="B100" t="s">
        <v>3</v>
      </c>
      <c r="C100" s="3">
        <v>1</v>
      </c>
      <c r="D100" t="s">
        <v>255</v>
      </c>
      <c r="E100" t="s">
        <v>256</v>
      </c>
      <c r="F100" s="9" t="s">
        <v>60</v>
      </c>
      <c r="G100" s="10"/>
      <c r="H100" s="10"/>
    </row>
    <row r="101" spans="1:8" x14ac:dyDescent="0.3">
      <c r="A101" s="2" t="s">
        <v>36</v>
      </c>
      <c r="B101" t="s">
        <v>3</v>
      </c>
      <c r="C101" s="3">
        <v>2</v>
      </c>
      <c r="D101" t="s">
        <v>257</v>
      </c>
      <c r="E101" t="s">
        <v>258</v>
      </c>
      <c r="F101" s="9" t="s">
        <v>60</v>
      </c>
      <c r="G101" s="10"/>
      <c r="H101" s="10"/>
    </row>
    <row r="102" spans="1:8" x14ac:dyDescent="0.3">
      <c r="A102" s="2" t="s">
        <v>36</v>
      </c>
      <c r="B102" t="s">
        <v>3</v>
      </c>
      <c r="C102" s="3">
        <v>3</v>
      </c>
      <c r="D102" t="s">
        <v>259</v>
      </c>
      <c r="E102" t="s">
        <v>260</v>
      </c>
      <c r="F102" s="9" t="s">
        <v>60</v>
      </c>
      <c r="G102" s="10"/>
      <c r="H102" s="10"/>
    </row>
    <row r="103" spans="1:8" x14ac:dyDescent="0.3">
      <c r="A103" s="2" t="s">
        <v>36</v>
      </c>
      <c r="B103" t="s">
        <v>3</v>
      </c>
      <c r="C103" s="3">
        <v>4</v>
      </c>
      <c r="D103" t="s">
        <v>261</v>
      </c>
      <c r="E103" t="s">
        <v>262</v>
      </c>
      <c r="F103" s="9" t="s">
        <v>60</v>
      </c>
      <c r="G103" s="10"/>
      <c r="H103" s="10"/>
    </row>
    <row r="104" spans="1:8" x14ac:dyDescent="0.3">
      <c r="A104" s="2" t="s">
        <v>36</v>
      </c>
      <c r="B104" t="s">
        <v>3</v>
      </c>
      <c r="C104" s="3">
        <v>5</v>
      </c>
      <c r="D104" t="s">
        <v>263</v>
      </c>
      <c r="E104" t="s">
        <v>264</v>
      </c>
      <c r="F104" s="9" t="s">
        <v>60</v>
      </c>
      <c r="G104" s="10"/>
      <c r="H104" s="10"/>
    </row>
    <row r="105" spans="1:8" x14ac:dyDescent="0.3">
      <c r="A105" s="2" t="s">
        <v>36</v>
      </c>
      <c r="B105" t="s">
        <v>3</v>
      </c>
      <c r="C105" s="3">
        <v>6</v>
      </c>
      <c r="D105" t="s">
        <v>265</v>
      </c>
      <c r="E105" t="s">
        <v>266</v>
      </c>
      <c r="F105" s="9" t="s">
        <v>60</v>
      </c>
      <c r="G105" s="10"/>
      <c r="H105" s="10"/>
    </row>
    <row r="106" spans="1:8" x14ac:dyDescent="0.3">
      <c r="A106" s="2" t="s">
        <v>37</v>
      </c>
      <c r="B106" t="s">
        <v>38</v>
      </c>
      <c r="C106" s="3">
        <v>1</v>
      </c>
      <c r="D106" t="s">
        <v>267</v>
      </c>
      <c r="E106" s="8" t="s">
        <v>268</v>
      </c>
      <c r="F106" s="9" t="s">
        <v>60</v>
      </c>
      <c r="G106" s="10"/>
      <c r="H106" s="10"/>
    </row>
    <row r="107" spans="1:8" x14ac:dyDescent="0.3">
      <c r="A107" s="2" t="s">
        <v>37</v>
      </c>
      <c r="B107" t="s">
        <v>38</v>
      </c>
      <c r="C107" s="3">
        <v>2</v>
      </c>
      <c r="D107" t="s">
        <v>269</v>
      </c>
      <c r="E107" t="s">
        <v>270</v>
      </c>
      <c r="F107" s="9" t="s">
        <v>60</v>
      </c>
      <c r="G107" s="10"/>
      <c r="H107" s="10"/>
    </row>
    <row r="108" spans="1:8" x14ac:dyDescent="0.3">
      <c r="A108" s="2" t="s">
        <v>37</v>
      </c>
      <c r="B108" t="s">
        <v>38</v>
      </c>
      <c r="C108" s="3">
        <v>3</v>
      </c>
      <c r="D108" t="s">
        <v>271</v>
      </c>
      <c r="E108" t="s">
        <v>272</v>
      </c>
      <c r="F108" s="9" t="s">
        <v>60</v>
      </c>
      <c r="G108" s="10"/>
      <c r="H108" s="10"/>
    </row>
    <row r="109" spans="1:8" x14ac:dyDescent="0.3">
      <c r="A109" s="2" t="s">
        <v>37</v>
      </c>
      <c r="B109" t="s">
        <v>38</v>
      </c>
      <c r="C109" s="3">
        <v>4</v>
      </c>
      <c r="D109" t="s">
        <v>273</v>
      </c>
      <c r="E109" t="s">
        <v>274</v>
      </c>
      <c r="F109" s="9" t="s">
        <v>60</v>
      </c>
      <c r="G109" s="10"/>
      <c r="H109" s="10"/>
    </row>
    <row r="110" spans="1:8" x14ac:dyDescent="0.3">
      <c r="A110" s="2" t="s">
        <v>39</v>
      </c>
      <c r="B110" t="s">
        <v>40</v>
      </c>
      <c r="C110" s="3">
        <v>1</v>
      </c>
      <c r="D110" t="s">
        <v>275</v>
      </c>
      <c r="E110" t="s">
        <v>276</v>
      </c>
      <c r="F110" s="9" t="s">
        <v>60</v>
      </c>
      <c r="G110" s="10"/>
      <c r="H110" s="10"/>
    </row>
    <row r="111" spans="1:8" x14ac:dyDescent="0.3">
      <c r="A111" s="2" t="s">
        <v>39</v>
      </c>
      <c r="B111" t="s">
        <v>40</v>
      </c>
      <c r="C111" s="3">
        <v>2</v>
      </c>
      <c r="D111" t="s">
        <v>277</v>
      </c>
      <c r="E111" t="s">
        <v>278</v>
      </c>
      <c r="F111" s="9" t="s">
        <v>60</v>
      </c>
      <c r="G111" s="10"/>
      <c r="H111" s="10"/>
    </row>
    <row r="112" spans="1:8" x14ac:dyDescent="0.3">
      <c r="A112" s="2" t="s">
        <v>39</v>
      </c>
      <c r="B112" t="s">
        <v>40</v>
      </c>
      <c r="C112" s="3">
        <v>3</v>
      </c>
      <c r="D112" t="s">
        <v>279</v>
      </c>
      <c r="E112" t="s">
        <v>280</v>
      </c>
      <c r="F112" s="9" t="s">
        <v>60</v>
      </c>
      <c r="G112" s="10"/>
      <c r="H112" s="10"/>
    </row>
    <row r="113" spans="1:8" x14ac:dyDescent="0.3">
      <c r="A113" s="2" t="s">
        <v>39</v>
      </c>
      <c r="B113" t="s">
        <v>40</v>
      </c>
      <c r="C113" s="3">
        <v>4</v>
      </c>
      <c r="D113" t="s">
        <v>281</v>
      </c>
      <c r="E113" t="s">
        <v>282</v>
      </c>
      <c r="F113" s="9" t="s">
        <v>60</v>
      </c>
      <c r="G113" s="10"/>
      <c r="H113" s="10"/>
    </row>
    <row r="114" spans="1:8" x14ac:dyDescent="0.3">
      <c r="A114" s="2" t="s">
        <v>39</v>
      </c>
      <c r="B114" t="s">
        <v>40</v>
      </c>
      <c r="C114" s="3">
        <v>5</v>
      </c>
      <c r="D114" t="s">
        <v>283</v>
      </c>
      <c r="E114" t="s">
        <v>284</v>
      </c>
      <c r="F114" s="9" t="s">
        <v>60</v>
      </c>
      <c r="G114" s="10"/>
      <c r="H114" s="10"/>
    </row>
    <row r="115" spans="1:8" x14ac:dyDescent="0.3">
      <c r="A115" s="2" t="s">
        <v>41</v>
      </c>
      <c r="B115" t="s">
        <v>42</v>
      </c>
      <c r="C115" s="3">
        <v>1</v>
      </c>
      <c r="D115" t="s">
        <v>285</v>
      </c>
      <c r="E115" t="s">
        <v>286</v>
      </c>
      <c r="F115" s="9" t="s">
        <v>60</v>
      </c>
      <c r="G115" s="10"/>
      <c r="H115" s="10"/>
    </row>
    <row r="116" spans="1:8" x14ac:dyDescent="0.3">
      <c r="A116" s="2" t="s">
        <v>41</v>
      </c>
      <c r="B116" t="s">
        <v>42</v>
      </c>
      <c r="C116" s="3">
        <v>2</v>
      </c>
      <c r="D116" t="s">
        <v>287</v>
      </c>
      <c r="E116" t="s">
        <v>288</v>
      </c>
      <c r="F116" s="9" t="s">
        <v>60</v>
      </c>
      <c r="G116" s="10"/>
      <c r="H116" s="10"/>
    </row>
    <row r="117" spans="1:8" x14ac:dyDescent="0.3">
      <c r="A117" s="2" t="s">
        <v>41</v>
      </c>
      <c r="B117" t="s">
        <v>42</v>
      </c>
      <c r="C117" s="3">
        <v>3</v>
      </c>
      <c r="D117" t="s">
        <v>289</v>
      </c>
      <c r="E117" t="s">
        <v>290</v>
      </c>
      <c r="F117" s="9" t="s">
        <v>60</v>
      </c>
      <c r="G117" s="10"/>
      <c r="H117" s="10"/>
    </row>
    <row r="118" spans="1:8" x14ac:dyDescent="0.3">
      <c r="A118" s="2" t="s">
        <v>41</v>
      </c>
      <c r="B118" t="s">
        <v>42</v>
      </c>
      <c r="C118" s="3">
        <v>4</v>
      </c>
      <c r="D118" t="s">
        <v>291</v>
      </c>
      <c r="E118" t="s">
        <v>292</v>
      </c>
      <c r="F118" s="9" t="s">
        <v>60</v>
      </c>
      <c r="G118" s="10"/>
      <c r="H118" s="10"/>
    </row>
    <row r="119" spans="1:8" x14ac:dyDescent="0.3">
      <c r="A119" s="2" t="s">
        <v>43</v>
      </c>
      <c r="B119" t="s">
        <v>44</v>
      </c>
      <c r="C119" s="3">
        <v>1</v>
      </c>
      <c r="D119" t="s">
        <v>293</v>
      </c>
      <c r="E119" t="s">
        <v>294</v>
      </c>
      <c r="F119" s="9" t="s">
        <v>60</v>
      </c>
      <c r="G119" s="10"/>
      <c r="H119" s="10"/>
    </row>
    <row r="120" spans="1:8" x14ac:dyDescent="0.3">
      <c r="A120" s="2" t="s">
        <v>43</v>
      </c>
      <c r="B120" t="s">
        <v>44</v>
      </c>
      <c r="C120" s="3">
        <v>2</v>
      </c>
      <c r="D120" t="s">
        <v>295</v>
      </c>
      <c r="E120" t="s">
        <v>296</v>
      </c>
      <c r="F120" s="9" t="s">
        <v>60</v>
      </c>
      <c r="G120" s="10"/>
      <c r="H120" s="10"/>
    </row>
    <row r="121" spans="1:8" x14ac:dyDescent="0.3">
      <c r="A121" s="2" t="s">
        <v>43</v>
      </c>
      <c r="B121" t="s">
        <v>44</v>
      </c>
      <c r="C121" s="3">
        <v>3</v>
      </c>
      <c r="D121" t="s">
        <v>297</v>
      </c>
      <c r="E121" t="s">
        <v>298</v>
      </c>
      <c r="F121" s="9" t="s">
        <v>60</v>
      </c>
      <c r="G121" s="10"/>
      <c r="H121" s="10"/>
    </row>
    <row r="122" spans="1:8" x14ac:dyDescent="0.3">
      <c r="A122" s="2" t="s">
        <v>43</v>
      </c>
      <c r="B122" t="s">
        <v>44</v>
      </c>
      <c r="C122" s="3">
        <v>4</v>
      </c>
      <c r="D122" t="s">
        <v>299</v>
      </c>
      <c r="E122" t="s">
        <v>300</v>
      </c>
      <c r="F122" s="9" t="s">
        <v>60</v>
      </c>
      <c r="G122" s="10"/>
      <c r="H122" s="10"/>
    </row>
    <row r="123" spans="1:8" x14ac:dyDescent="0.3">
      <c r="A123" s="2" t="s">
        <v>45</v>
      </c>
      <c r="B123" t="s">
        <v>46</v>
      </c>
      <c r="C123" s="3">
        <v>1</v>
      </c>
      <c r="D123" t="s">
        <v>301</v>
      </c>
      <c r="E123" t="s">
        <v>302</v>
      </c>
      <c r="F123" s="9" t="s">
        <v>60</v>
      </c>
      <c r="G123" s="10"/>
      <c r="H123" s="10"/>
    </row>
    <row r="124" spans="1:8" x14ac:dyDescent="0.3">
      <c r="A124" s="2" t="s">
        <v>45</v>
      </c>
      <c r="B124" t="s">
        <v>46</v>
      </c>
      <c r="C124" s="3">
        <v>2</v>
      </c>
      <c r="D124" t="s">
        <v>303</v>
      </c>
      <c r="E124" t="s">
        <v>304</v>
      </c>
      <c r="F124" s="9" t="s">
        <v>60</v>
      </c>
      <c r="G124" s="10"/>
      <c r="H124" s="10"/>
    </row>
    <row r="125" spans="1:8" x14ac:dyDescent="0.3">
      <c r="A125" s="2" t="s">
        <v>45</v>
      </c>
      <c r="B125" t="s">
        <v>46</v>
      </c>
      <c r="C125" s="3">
        <v>3</v>
      </c>
      <c r="D125" t="s">
        <v>305</v>
      </c>
      <c r="E125" t="s">
        <v>306</v>
      </c>
      <c r="F125" s="9" t="s">
        <v>60</v>
      </c>
      <c r="G125" s="10"/>
      <c r="H125" s="10"/>
    </row>
    <row r="126" spans="1:8" x14ac:dyDescent="0.3">
      <c r="A126" s="2" t="s">
        <v>45</v>
      </c>
      <c r="B126" t="s">
        <v>46</v>
      </c>
      <c r="C126" s="3">
        <v>4</v>
      </c>
      <c r="D126" t="s">
        <v>307</v>
      </c>
      <c r="E126" t="s">
        <v>308</v>
      </c>
      <c r="F126" s="9" t="s">
        <v>60</v>
      </c>
      <c r="G126" s="10"/>
      <c r="H126" s="10"/>
    </row>
    <row r="127" spans="1:8" x14ac:dyDescent="0.3">
      <c r="A127" s="2" t="s">
        <v>47</v>
      </c>
      <c r="B127" t="s">
        <v>48</v>
      </c>
      <c r="C127" s="3">
        <v>1</v>
      </c>
      <c r="D127" t="s">
        <v>309</v>
      </c>
      <c r="E127" t="s">
        <v>310</v>
      </c>
      <c r="F127" s="9" t="s">
        <v>60</v>
      </c>
      <c r="G127" s="10"/>
      <c r="H127" s="10"/>
    </row>
    <row r="128" spans="1:8" x14ac:dyDescent="0.3">
      <c r="A128" s="2" t="s">
        <v>47</v>
      </c>
      <c r="B128" t="s">
        <v>48</v>
      </c>
      <c r="C128" s="3">
        <v>2</v>
      </c>
      <c r="D128" t="s">
        <v>311</v>
      </c>
      <c r="E128" t="s">
        <v>312</v>
      </c>
      <c r="F128" s="9" t="s">
        <v>60</v>
      </c>
      <c r="G128" s="10"/>
      <c r="H128" s="10"/>
    </row>
    <row r="129" spans="1:8" x14ac:dyDescent="0.3">
      <c r="A129" s="2" t="s">
        <v>47</v>
      </c>
      <c r="B129" t="s">
        <v>48</v>
      </c>
      <c r="C129" s="3">
        <v>3</v>
      </c>
      <c r="D129" t="s">
        <v>313</v>
      </c>
      <c r="E129" t="s">
        <v>314</v>
      </c>
      <c r="F129" s="9" t="s">
        <v>60</v>
      </c>
      <c r="G129" s="10"/>
      <c r="H129" s="10"/>
    </row>
    <row r="130" spans="1:8" x14ac:dyDescent="0.3">
      <c r="A130" s="2" t="s">
        <v>47</v>
      </c>
      <c r="B130" t="s">
        <v>48</v>
      </c>
      <c r="C130" s="3">
        <v>4</v>
      </c>
      <c r="D130" t="s">
        <v>315</v>
      </c>
      <c r="E130" t="s">
        <v>316</v>
      </c>
      <c r="F130" s="9" t="s">
        <v>60</v>
      </c>
      <c r="G130" s="10"/>
      <c r="H130" s="10"/>
    </row>
    <row r="131" spans="1:8" x14ac:dyDescent="0.3">
      <c r="A131" s="2" t="s">
        <v>49</v>
      </c>
      <c r="B131" t="s">
        <v>50</v>
      </c>
      <c r="C131" s="3">
        <v>1</v>
      </c>
      <c r="D131" t="s">
        <v>317</v>
      </c>
      <c r="E131" t="s">
        <v>318</v>
      </c>
      <c r="F131" s="9" t="s">
        <v>60</v>
      </c>
      <c r="G131" s="10"/>
      <c r="H131" s="10"/>
    </row>
    <row r="132" spans="1:8" x14ac:dyDescent="0.3">
      <c r="A132" s="2" t="s">
        <v>49</v>
      </c>
      <c r="B132" t="s">
        <v>50</v>
      </c>
      <c r="C132" s="3">
        <v>2</v>
      </c>
      <c r="D132" t="s">
        <v>319</v>
      </c>
      <c r="E132" t="s">
        <v>320</v>
      </c>
      <c r="F132" s="9" t="s">
        <v>60</v>
      </c>
      <c r="G132" s="10"/>
      <c r="H132" s="10"/>
    </row>
    <row r="133" spans="1:8" x14ac:dyDescent="0.3">
      <c r="A133" s="2" t="s">
        <v>49</v>
      </c>
      <c r="B133" t="s">
        <v>50</v>
      </c>
      <c r="C133" s="3">
        <v>3</v>
      </c>
      <c r="D133" t="s">
        <v>321</v>
      </c>
      <c r="E133" t="s">
        <v>322</v>
      </c>
      <c r="F133" s="9" t="s">
        <v>60</v>
      </c>
      <c r="G133" s="10"/>
      <c r="H133" s="10"/>
    </row>
    <row r="134" spans="1:8" x14ac:dyDescent="0.3">
      <c r="A134" s="2" t="s">
        <v>49</v>
      </c>
      <c r="B134" t="s">
        <v>50</v>
      </c>
      <c r="C134" s="3">
        <v>4</v>
      </c>
      <c r="D134" t="s">
        <v>323</v>
      </c>
      <c r="E134" t="s">
        <v>324</v>
      </c>
      <c r="F134" s="9" t="s">
        <v>60</v>
      </c>
      <c r="G134" s="10"/>
      <c r="H134" s="10"/>
    </row>
    <row r="135" spans="1:8" x14ac:dyDescent="0.3">
      <c r="A135" s="2" t="s">
        <v>51</v>
      </c>
      <c r="B135" t="s">
        <v>325</v>
      </c>
      <c r="C135" s="3">
        <v>1</v>
      </c>
      <c r="D135" t="s">
        <v>326</v>
      </c>
      <c r="E135" t="s">
        <v>327</v>
      </c>
      <c r="F135" s="9" t="s">
        <v>60</v>
      </c>
      <c r="G135" s="10"/>
      <c r="H135" s="10"/>
    </row>
    <row r="136" spans="1:8" x14ac:dyDescent="0.3">
      <c r="A136" s="2" t="s">
        <v>51</v>
      </c>
      <c r="B136" t="s">
        <v>325</v>
      </c>
      <c r="C136" s="3">
        <v>2</v>
      </c>
      <c r="D136" t="s">
        <v>328</v>
      </c>
      <c r="E136" t="s">
        <v>329</v>
      </c>
      <c r="F136" s="9" t="s">
        <v>60</v>
      </c>
      <c r="G136" s="10"/>
      <c r="H136" s="10"/>
    </row>
    <row r="137" spans="1:8" x14ac:dyDescent="0.3">
      <c r="A137" s="2" t="s">
        <v>51</v>
      </c>
      <c r="B137" t="s">
        <v>325</v>
      </c>
      <c r="C137" s="3">
        <v>3</v>
      </c>
      <c r="D137" t="s">
        <v>330</v>
      </c>
      <c r="E137" t="s">
        <v>331</v>
      </c>
      <c r="F137" s="9" t="s">
        <v>60</v>
      </c>
      <c r="G137" s="10"/>
      <c r="H137" s="10"/>
    </row>
    <row r="138" spans="1:8" x14ac:dyDescent="0.3">
      <c r="A138" s="2" t="s">
        <v>51</v>
      </c>
      <c r="B138" t="s">
        <v>325</v>
      </c>
      <c r="C138" s="3">
        <v>4</v>
      </c>
      <c r="D138" t="s">
        <v>332</v>
      </c>
      <c r="E138" t="s">
        <v>333</v>
      </c>
      <c r="F138" s="9" t="s">
        <v>60</v>
      </c>
      <c r="G138" s="10"/>
      <c r="H138" s="10"/>
    </row>
    <row r="139" spans="1:8" x14ac:dyDescent="0.3">
      <c r="A139" s="2" t="s">
        <v>51</v>
      </c>
      <c r="B139" t="s">
        <v>325</v>
      </c>
      <c r="C139" s="3">
        <v>5</v>
      </c>
      <c r="D139" t="s">
        <v>334</v>
      </c>
      <c r="E139" t="s">
        <v>335</v>
      </c>
      <c r="F139" s="9" t="s">
        <v>60</v>
      </c>
      <c r="G139" s="10"/>
      <c r="H139" s="10"/>
    </row>
    <row r="140" spans="1:8" x14ac:dyDescent="0.3">
      <c r="A140" s="2" t="s">
        <v>51</v>
      </c>
      <c r="B140" t="s">
        <v>325</v>
      </c>
      <c r="C140" s="3">
        <v>6</v>
      </c>
      <c r="D140" t="s">
        <v>336</v>
      </c>
      <c r="E140" t="s">
        <v>337</v>
      </c>
      <c r="F140" s="9" t="s">
        <v>60</v>
      </c>
      <c r="G140" s="10"/>
      <c r="H140" s="10"/>
    </row>
    <row r="141" spans="1:8" x14ac:dyDescent="0.3">
      <c r="A141" s="2" t="s">
        <v>51</v>
      </c>
      <c r="B141" t="s">
        <v>325</v>
      </c>
      <c r="C141" s="3">
        <v>7</v>
      </c>
      <c r="D141" t="s">
        <v>338</v>
      </c>
      <c r="E141" t="s">
        <v>339</v>
      </c>
      <c r="F141" s="9" t="s">
        <v>60</v>
      </c>
      <c r="G141" s="10"/>
      <c r="H141" s="10"/>
    </row>
    <row r="142" spans="1:8" x14ac:dyDescent="0.3">
      <c r="A142" s="2" t="s">
        <v>51</v>
      </c>
      <c r="B142" t="s">
        <v>325</v>
      </c>
      <c r="C142" s="3">
        <v>8</v>
      </c>
      <c r="D142" t="s">
        <v>340</v>
      </c>
      <c r="E142" t="s">
        <v>341</v>
      </c>
      <c r="F142" s="9" t="s">
        <v>60</v>
      </c>
      <c r="G142" s="10"/>
      <c r="H142" s="10"/>
    </row>
    <row r="143" spans="1:8" x14ac:dyDescent="0.3">
      <c r="A143" s="2" t="s">
        <v>51</v>
      </c>
      <c r="B143" t="s">
        <v>325</v>
      </c>
      <c r="C143" s="3">
        <v>9</v>
      </c>
      <c r="D143" t="s">
        <v>342</v>
      </c>
      <c r="E143" t="s">
        <v>343</v>
      </c>
      <c r="F143" s="9" t="s">
        <v>60</v>
      </c>
      <c r="G143" s="10"/>
      <c r="H143" s="10"/>
    </row>
    <row r="144" spans="1:8" x14ac:dyDescent="0.3">
      <c r="A144" s="2" t="s">
        <v>51</v>
      </c>
      <c r="B144" t="s">
        <v>325</v>
      </c>
      <c r="C144" s="3">
        <v>10</v>
      </c>
      <c r="D144" t="s">
        <v>344</v>
      </c>
      <c r="E144" t="s">
        <v>345</v>
      </c>
      <c r="F144" s="9" t="s">
        <v>60</v>
      </c>
      <c r="G144" s="10"/>
      <c r="H144" s="10"/>
    </row>
  </sheetData>
  <sheetProtection algorithmName="SHA-512" hashValue="LXHG6EVz24UF0Lp4dgr82YSKvYUrY9+xGNbLmDPlRhN3CdqbuODXlLpE0d+AKUgdpBCy3JVqf75GKEJi2PHlsg==" saltValue="gYl8+3UI1CiUKLjVwSelKw==" spinCount="100000" sheet="1" objects="1" scenarios="1" sort="0" autoFilter="0"/>
  <conditionalFormatting sqref="F2:F144">
    <cfRule type="cellIs" dxfId="2" priority="1" operator="equal">
      <formula>"Yes"</formula>
    </cfRule>
  </conditionalFormatting>
  <dataValidations count="1">
    <dataValidation type="list" allowBlank="1" showInputMessage="1" showErrorMessage="1" sqref="F2:F144" xr:uid="{E6E2B0E5-F201-4971-865A-5B842B6555D6}">
      <formula1>"Yes,No"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A2" sqref="A2"/>
    </sheetView>
  </sheetViews>
  <sheetFormatPr defaultRowHeight="14.4" x14ac:dyDescent="0.3"/>
  <cols>
    <col min="1" max="1" width="40.6640625" customWidth="1"/>
    <col min="2" max="4" width="20.33203125" customWidth="1"/>
  </cols>
  <sheetData>
    <row r="1" spans="1:4" x14ac:dyDescent="0.3">
      <c r="A1" s="11" t="s">
        <v>346</v>
      </c>
      <c r="B1" s="11" t="s">
        <v>347</v>
      </c>
      <c r="C1" s="11" t="s">
        <v>6</v>
      </c>
      <c r="D1" s="11" t="s">
        <v>348</v>
      </c>
    </row>
    <row r="2" spans="1:4" x14ac:dyDescent="0.3">
      <c r="A2" t="s">
        <v>349</v>
      </c>
      <c r="B2">
        <v>40</v>
      </c>
      <c r="C2" s="4"/>
      <c r="D2" s="5">
        <f t="shared" ref="D2:D9" si="0">IF(C2="",0,B2*C2/5)</f>
        <v>0</v>
      </c>
    </row>
    <row r="3" spans="1:4" x14ac:dyDescent="0.3">
      <c r="A3" t="s">
        <v>350</v>
      </c>
      <c r="B3">
        <v>15</v>
      </c>
      <c r="C3" s="4"/>
      <c r="D3" s="5">
        <f t="shared" si="0"/>
        <v>0</v>
      </c>
    </row>
    <row r="4" spans="1:4" x14ac:dyDescent="0.3">
      <c r="A4" t="s">
        <v>1</v>
      </c>
      <c r="B4">
        <v>10</v>
      </c>
      <c r="C4" s="4"/>
      <c r="D4" s="5">
        <f t="shared" si="0"/>
        <v>0</v>
      </c>
    </row>
    <row r="5" spans="1:4" x14ac:dyDescent="0.3">
      <c r="A5" t="s">
        <v>16</v>
      </c>
      <c r="B5">
        <v>10</v>
      </c>
      <c r="C5" s="4"/>
      <c r="D5" s="5">
        <f t="shared" si="0"/>
        <v>0</v>
      </c>
    </row>
    <row r="6" spans="1:4" x14ac:dyDescent="0.3">
      <c r="A6" t="s">
        <v>46</v>
      </c>
      <c r="B6">
        <v>10</v>
      </c>
      <c r="C6" s="4"/>
      <c r="D6" s="5">
        <f t="shared" si="0"/>
        <v>0</v>
      </c>
    </row>
    <row r="7" spans="1:4" x14ac:dyDescent="0.3">
      <c r="A7" t="s">
        <v>351</v>
      </c>
      <c r="B7">
        <v>5</v>
      </c>
      <c r="C7" s="4"/>
      <c r="D7" s="5">
        <f t="shared" si="0"/>
        <v>0</v>
      </c>
    </row>
    <row r="8" spans="1:4" x14ac:dyDescent="0.3">
      <c r="A8" t="s">
        <v>2</v>
      </c>
      <c r="B8">
        <v>5</v>
      </c>
      <c r="C8" s="4"/>
      <c r="D8" s="5">
        <f t="shared" si="0"/>
        <v>0</v>
      </c>
    </row>
    <row r="9" spans="1:4" x14ac:dyDescent="0.3">
      <c r="A9" t="s">
        <v>352</v>
      </c>
      <c r="B9">
        <v>5</v>
      </c>
      <c r="C9" s="4"/>
      <c r="D9" s="5">
        <f t="shared" si="0"/>
        <v>0</v>
      </c>
    </row>
    <row r="10" spans="1:4" x14ac:dyDescent="0.3">
      <c r="A10" s="1" t="s">
        <v>353</v>
      </c>
      <c r="B10" s="1">
        <f>SUM(B2:B9)</f>
        <v>100</v>
      </c>
      <c r="D10" s="6">
        <f>SUM(D2:D9)</f>
        <v>0</v>
      </c>
    </row>
    <row r="12" spans="1:4" x14ac:dyDescent="0.3">
      <c r="A12" s="1" t="s">
        <v>354</v>
      </c>
      <c r="B12" s="7">
        <v>70</v>
      </c>
    </row>
    <row r="13" spans="1:4" x14ac:dyDescent="0.3">
      <c r="A13" s="1" t="s">
        <v>355</v>
      </c>
      <c r="B13" s="6">
        <f>D10</f>
        <v>0</v>
      </c>
    </row>
    <row r="14" spans="1:4" x14ac:dyDescent="0.3">
      <c r="A14" s="1" t="s">
        <v>356</v>
      </c>
      <c r="B14" s="5" t="str">
        <f>IFERROR(AVERAGE(#REF!),"Not scored yet")</f>
        <v>Not scored yet</v>
      </c>
    </row>
    <row r="15" spans="1:4" x14ac:dyDescent="0.3">
      <c r="A15" s="1" t="s">
        <v>0</v>
      </c>
      <c r="B15" s="1" t="str">
        <f>IF(COUNT(C2:C9)&lt;8,"Pending — score all categories",IF(B13&gt;=B12,"PASS","FAIL"))</f>
        <v>Pending — score all categories</v>
      </c>
    </row>
  </sheetData>
  <sheetProtection algorithmName="SHA-512" hashValue="6jMoAjrKEvxAu9OatLNQVyDIs4066/sYdDehr07XDjZ1Nux/W/s9Bk42ykv9InF+epSvTfkQW4ALRxOM/Kkheg==" saltValue="9PvfR/Hf6K9ApqmPfv/hgQ==" spinCount="100000" sheet="1" objects="1" scenarios="1" sort="0" autoFilter="0"/>
  <conditionalFormatting sqref="B15">
    <cfRule type="cellIs" dxfId="1" priority="1" operator="equal">
      <formula>"PASS"</formula>
    </cfRule>
    <cfRule type="cellIs" dxfId="0" priority="2" operator="equal">
      <formula>"FAIL"</formula>
    </cfRule>
  </conditionalFormatting>
  <dataValidations count="1">
    <dataValidation type="decimal" allowBlank="1" showInputMessage="1" showErrorMessage="1" sqref="C2:C9" xr:uid="{6B8F5366-2A15-4B73-892E-CC61684E43B6}">
      <formula1>1</formula1>
      <formula2>5</formula2>
    </dataValidation>
  </dataValidation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257f4f-54dd-499a-9af2-fa18b3368f0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8C7341A012EC45A10E1C4E9CCDCF1A" ma:contentTypeVersion="16" ma:contentTypeDescription="Create a new document." ma:contentTypeScope="" ma:versionID="73e1737fd000068c8e8c8b198ca66e65">
  <xsd:schema xmlns:xsd="http://www.w3.org/2001/XMLSchema" xmlns:xs="http://www.w3.org/2001/XMLSchema" xmlns:p="http://schemas.microsoft.com/office/2006/metadata/properties" xmlns:ns3="368a3b66-24e4-4479-a5dc-dd6c573d816d" xmlns:ns4="a1257f4f-54dd-499a-9af2-fa18b3368f0b" targetNamespace="http://schemas.microsoft.com/office/2006/metadata/properties" ma:root="true" ma:fieldsID="590e376dde656a00d33b181de8635518" ns3:_="" ns4:_="">
    <xsd:import namespace="368a3b66-24e4-4479-a5dc-dd6c573d816d"/>
    <xsd:import namespace="a1257f4f-54dd-499a-9af2-fa18b3368f0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8a3b66-24e4-4479-a5dc-dd6c573d816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57f4f-54dd-499a-9af2-fa18b3368f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7AB55A-826E-4E18-8223-A0DFC4D1A85A}">
  <ds:schemaRefs>
    <ds:schemaRef ds:uri="http://schemas.microsoft.com/office/2006/metadata/properties"/>
    <ds:schemaRef ds:uri="http://schemas.microsoft.com/office/infopath/2007/PartnerControls"/>
    <ds:schemaRef ds:uri="a1257f4f-54dd-499a-9af2-fa18b3368f0b"/>
  </ds:schemaRefs>
</ds:datastoreItem>
</file>

<file path=customXml/itemProps2.xml><?xml version="1.0" encoding="utf-8"?>
<ds:datastoreItem xmlns:ds="http://schemas.openxmlformats.org/officeDocument/2006/customXml" ds:itemID="{F15810CD-1C4B-49E1-A5AB-B95ACB857D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8a3b66-24e4-4479-a5dc-dd6c573d816d"/>
    <ds:schemaRef ds:uri="a1257f4f-54dd-499a-9af2-fa18b3368f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77C554-A82F-456E-91A9-E9B0FD9152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Checklist</vt:lpstr>
      <vt:lpstr>Evaluation Rubric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Shabih Haider f2024376286</cp:lastModifiedBy>
  <cp:revision/>
  <dcterms:created xsi:type="dcterms:W3CDTF">2026-07-02T08:39:08Z</dcterms:created>
  <dcterms:modified xsi:type="dcterms:W3CDTF">2026-08-31T04:46:13Z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0x0101003E8C7341A012EC45A10E1C4E9CCDCF1A</vt:lpwstr>
  </property>
</Properties>
</file>